
<file path=[Content_Types].xml><?xml version="1.0" encoding="utf-8"?>
<Types xmlns="http://schemas.openxmlformats.org/package/2006/content-types">
  <Default Extension="vml" ContentType="application/vnd.openxmlformats-officedocument.vmlDrawing"/>
  <Default Extension="bin" ContentType="application/vnd.openxmlformats-officedocument.oleObject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3065" activeTab="4"/>
  </bookViews>
  <sheets>
    <sheet name="试加重示意图" sheetId="7" r:id="rId1"/>
    <sheet name="三点平衡法" sheetId="27" r:id="rId2"/>
    <sheet name="二点法反相加" sheetId="28" r:id="rId3"/>
    <sheet name="二点法垂直加" sheetId="29" r:id="rId4"/>
    <sheet name="二点法垂直加-2" sheetId="30" r:id="rId5"/>
  </sheets>
  <calcPr calcId="144525"/>
</workbook>
</file>

<file path=xl/sharedStrings.xml><?xml version="1.0" encoding="utf-8"?>
<sst xmlns="http://schemas.openxmlformats.org/spreadsheetml/2006/main" count="715" uniqueCount="109">
  <si>
    <t>Px,Py为不平衡矢量，
试加重在它反向</t>
  </si>
  <si>
    <t>转向</t>
  </si>
  <si>
    <t>顺时针</t>
  </si>
  <si>
    <t>键相位置°</t>
  </si>
  <si>
    <t>X向位置°</t>
  </si>
  <si>
    <t>Y向位置°</t>
  </si>
  <si>
    <t>X向振动一倍频Ax</t>
  </si>
  <si>
    <t>幅值μm</t>
  </si>
  <si>
    <t>相位°</t>
  </si>
  <si>
    <t>X向滞后角°</t>
  </si>
  <si>
    <t>Y向振动一倍频Ay</t>
  </si>
  <si>
    <t>转子质量kg</t>
  </si>
  <si>
    <t>Y向滞后角°</t>
  </si>
  <si>
    <t>显示设置</t>
  </si>
  <si>
    <t>只显示X向</t>
  </si>
  <si>
    <t>转速</t>
  </si>
  <si>
    <t>按X向加重位置
(键相逆转向)°</t>
  </si>
  <si>
    <t>按Y向加重位置
(键相逆转向)°</t>
  </si>
  <si>
    <t>m</t>
  </si>
  <si>
    <t>灵敏系数</t>
  </si>
  <si>
    <t>转速rpm</t>
  </si>
  <si>
    <t>um</t>
  </si>
  <si>
    <t>加重半径mm</t>
  </si>
  <si>
    <t>kg</t>
  </si>
  <si>
    <t>试加重质量g</t>
  </si>
  <si>
    <t>加重1g产生激振力kgf</t>
  </si>
  <si>
    <t>试加重产生激振力kgf</t>
  </si>
  <si>
    <t>试加重激振力与转子
重力比%</t>
  </si>
  <si>
    <t>数据</t>
  </si>
  <si>
    <t>圆图半径</t>
  </si>
  <si>
    <t>X向</t>
  </si>
  <si>
    <t>Y向</t>
  </si>
  <si>
    <t>cx</t>
  </si>
  <si>
    <t>键相位置</t>
  </si>
  <si>
    <t>cy</t>
  </si>
  <si>
    <t>夹角</t>
  </si>
  <si>
    <t>X向位置</t>
  </si>
  <si>
    <t>转向线半径系数</t>
  </si>
  <si>
    <t>Y向位置</t>
  </si>
  <si>
    <t>转向线起始角度</t>
  </si>
  <si>
    <t>转向系数</t>
  </si>
  <si>
    <t>幅值</t>
  </si>
  <si>
    <t>相位</t>
  </si>
  <si>
    <t>箭头线长</t>
  </si>
  <si>
    <t>探头线长</t>
  </si>
  <si>
    <t>X向滞后角</t>
  </si>
  <si>
    <t>探头线宽</t>
  </si>
  <si>
    <t>Y向滞后角</t>
  </si>
  <si>
    <t>Ax夹角线半径系数</t>
  </si>
  <si>
    <t>Px夹角线半径系数</t>
  </si>
  <si>
    <t>Ay夹角线半径系数</t>
  </si>
  <si>
    <t>Py夹角线半径系数</t>
  </si>
  <si>
    <t>圆心</t>
  </si>
  <si>
    <t>键相探头</t>
  </si>
  <si>
    <t>键相线长</t>
  </si>
  <si>
    <t>键相线距离系数</t>
  </si>
  <si>
    <t>键相线宽</t>
  </si>
  <si>
    <t>X向探头</t>
  </si>
  <si>
    <t>X向线长</t>
  </si>
  <si>
    <t>X向线距离系数</t>
  </si>
  <si>
    <t>X向线宽</t>
  </si>
  <si>
    <t>Y向探头</t>
  </si>
  <si>
    <t>YX向线长</t>
  </si>
  <si>
    <t>Y向线距离系数</t>
  </si>
  <si>
    <t>Y向线宽</t>
  </si>
  <si>
    <t>基线</t>
  </si>
  <si>
    <t>X向振动矢量</t>
  </si>
  <si>
    <t>Y向振动矢量</t>
  </si>
  <si>
    <t>α</t>
  </si>
  <si>
    <t>0.0995∠112</t>
  </si>
  <si>
    <t>M0</t>
  </si>
  <si>
    <t>120∠238</t>
  </si>
  <si>
    <t>V0</t>
  </si>
  <si>
    <t>M试加重</t>
  </si>
  <si>
    <t>M1</t>
  </si>
  <si>
    <t>M10</t>
  </si>
  <si>
    <t>V1</t>
  </si>
  <si>
    <t>M2</t>
  </si>
  <si>
    <t>M20</t>
  </si>
  <si>
    <t>V2</t>
  </si>
  <si>
    <t>M3</t>
  </si>
  <si>
    <t>M30</t>
  </si>
  <si>
    <t>V3</t>
  </si>
  <si>
    <t>α幅值</t>
  </si>
  <si>
    <t>M0x</t>
  </si>
  <si>
    <t>M0y</t>
  </si>
  <si>
    <t>M0角度</t>
  </si>
  <si>
    <t>0.567∠112</t>
  </si>
  <si>
    <t>两次试加相差180度</t>
  </si>
  <si>
    <t>120∠30</t>
  </si>
  <si>
    <t>a</t>
  </si>
  <si>
    <t>f0^2</t>
  </si>
  <si>
    <t>v0^2</t>
  </si>
  <si>
    <t>0.25∠278</t>
  </si>
  <si>
    <t>两次试加相差90度</t>
  </si>
  <si>
    <t>400∠290</t>
  </si>
  <si>
    <t>M</t>
  </si>
  <si>
    <t>V0*V0</t>
  </si>
  <si>
    <t>V1*V1</t>
  </si>
  <si>
    <t>V2*V2</t>
  </si>
  <si>
    <t>Xk</t>
  </si>
  <si>
    <t>f(Xk)</t>
  </si>
  <si>
    <t>J(Xk)</t>
  </si>
  <si>
    <t>J(Xk)Xk</t>
  </si>
  <si>
    <t>bk</t>
  </si>
  <si>
    <t>Xk+1</t>
  </si>
  <si>
    <t>0.23456987∠278</t>
  </si>
  <si>
    <t>10000∠333</t>
  </si>
  <si>
    <t>Xk+1=&gt;Xk</t>
  </si>
</sst>
</file>

<file path=xl/styles.xml><?xml version="1.0" encoding="utf-8"?>
<styleSheet xmlns="http://schemas.openxmlformats.org/spreadsheetml/2006/main">
  <numFmts count="6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176" formatCode="0.0"/>
    <numFmt numFmtId="177" formatCode="0.00_ "/>
  </numFmts>
  <fonts count="24">
    <font>
      <sz val="11"/>
      <color theme="1"/>
      <name val="宋体"/>
      <charset val="134"/>
      <scheme val="minor"/>
    </font>
    <font>
      <b/>
      <sz val="11"/>
      <name val="宋体"/>
      <charset val="134"/>
      <scheme val="minor"/>
    </font>
    <font>
      <sz val="11"/>
      <color rgb="FFFF0000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1"/>
      <name val="宋体"/>
      <charset val="134"/>
      <scheme val="minor"/>
    </font>
    <font>
      <sz val="11"/>
      <color theme="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theme="1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5"/>
      <color theme="3"/>
      <name val="宋体"/>
      <charset val="134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FFCC"/>
        <bgColor indexed="64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12" fillId="13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0" fillId="34" borderId="8" applyNumberFormat="0" applyFont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3" fillId="0" borderId="3" applyNumberFormat="0" applyFill="0" applyAlignment="0" applyProtection="0">
      <alignment vertical="center"/>
    </xf>
    <xf numFmtId="0" fontId="10" fillId="0" borderId="3" applyNumberFormat="0" applyFill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5" fillId="33" borderId="0" applyNumberFormat="0" applyBorder="0" applyAlignment="0" applyProtection="0">
      <alignment vertical="center"/>
    </xf>
    <xf numFmtId="0" fontId="6" fillId="5" borderId="1" applyNumberFormat="0" applyAlignment="0" applyProtection="0">
      <alignment vertical="center"/>
    </xf>
    <xf numFmtId="0" fontId="13" fillId="5" borderId="4" applyNumberFormat="0" applyAlignment="0" applyProtection="0">
      <alignment vertical="center"/>
    </xf>
    <xf numFmtId="0" fontId="22" fillId="32" borderId="7" applyNumberFormat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9" fillId="0" borderId="2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8" fillId="26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0" fontId="0" fillId="2" borderId="0" xfId="0" applyFill="1">
      <alignment vertical="center"/>
    </xf>
    <xf numFmtId="177" fontId="0" fillId="0" borderId="0" xfId="0" applyNumberFormat="1" applyAlignment="1">
      <alignment horizontal="right" vertical="center"/>
    </xf>
    <xf numFmtId="0" fontId="1" fillId="2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>
      <alignment vertical="center"/>
    </xf>
    <xf numFmtId="0" fontId="2" fillId="0" borderId="0" xfId="0" applyFont="1" applyAlignment="1">
      <alignment horizontal="right" vertical="center"/>
    </xf>
    <xf numFmtId="0" fontId="0" fillId="0" borderId="0" xfId="0" applyAlignment="1">
      <alignment vertical="center" wrapText="1"/>
    </xf>
    <xf numFmtId="0" fontId="3" fillId="2" borderId="0" xfId="0" applyFont="1" applyFill="1">
      <alignment vertical="center"/>
    </xf>
    <xf numFmtId="176" fontId="0" fillId="0" borderId="0" xfId="0" applyNumberFormat="1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Fill="1">
      <alignment vertical="center"/>
    </xf>
    <xf numFmtId="0" fontId="0" fillId="3" borderId="0" xfId="0" applyFill="1">
      <alignment vertical="center"/>
    </xf>
    <xf numFmtId="0" fontId="4" fillId="3" borderId="0" xfId="0" applyFont="1" applyFill="1">
      <alignment vertical="center"/>
    </xf>
    <xf numFmtId="0" fontId="4" fillId="2" borderId="0" xfId="0" applyFont="1" applyFill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C1434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microsoft.com/office/2006/relationships/vbaProject" Target="vbaProject.bin"/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277420800485446"/>
          <c:y val="0.00174856714339279"/>
          <c:w val="0.971282955302229"/>
          <c:h val="0.964792836616701"/>
        </c:manualLayout>
      </c:layout>
      <c:scatterChart>
        <c:scatterStyle val="smooth"/>
        <c:varyColors val="0"/>
        <c:ser>
          <c:idx val="0"/>
          <c:order val="0"/>
          <c:tx>
            <c:strRef>
              <c:f>"圆"</c:f>
              <c:strCache>
                <c:ptCount val="1"/>
                <c:pt idx="0">
                  <c:v>圆</c:v>
                </c:pt>
              </c:strCache>
            </c:strRef>
          </c:tx>
          <c:marker>
            <c:symbol val="none"/>
          </c:marker>
          <c:dLbls>
            <c:delete val="1"/>
          </c:dLbls>
          <c:xVal>
            <c:numRef>
              <c:f>试加重示意图!$B$10001:$B$10361</c:f>
              <c:numCache>
                <c:formatCode>General</c:formatCode>
                <c:ptCount val="361"/>
                <c:pt idx="0">
                  <c:v>37</c:v>
                </c:pt>
                <c:pt idx="1">
                  <c:v>36.9977154273459</c:v>
                </c:pt>
                <c:pt idx="2">
                  <c:v>36.9908624052864</c:v>
                </c:pt>
                <c:pt idx="3">
                  <c:v>36.9794430213186</c:v>
                </c:pt>
                <c:pt idx="4">
                  <c:v>36.9634607538974</c:v>
                </c:pt>
                <c:pt idx="5">
                  <c:v>36.9429204713762</c:v>
                </c:pt>
                <c:pt idx="6">
                  <c:v>36.9178284305241</c:v>
                </c:pt>
                <c:pt idx="7">
                  <c:v>36.8881922746198</c:v>
                </c:pt>
                <c:pt idx="8">
                  <c:v>36.8540210311236</c:v>
                </c:pt>
                <c:pt idx="9">
                  <c:v>36.8153251089271</c:v>
                </c:pt>
                <c:pt idx="10">
                  <c:v>36.7721162951831</c:v>
                </c:pt>
                <c:pt idx="11">
                  <c:v>36.724407751715</c:v>
                </c:pt>
                <c:pt idx="12">
                  <c:v>36.6722140110071</c:v>
                </c:pt>
                <c:pt idx="13">
                  <c:v>36.6155509717785</c:v>
                </c:pt>
                <c:pt idx="14">
                  <c:v>36.5544358941399</c:v>
                </c:pt>
                <c:pt idx="15">
                  <c:v>36.488887394336</c:v>
                </c:pt>
                <c:pt idx="16">
                  <c:v>36.4189254390748</c:v>
                </c:pt>
                <c:pt idx="17">
                  <c:v>36.3445713394455</c:v>
                </c:pt>
                <c:pt idx="18">
                  <c:v>36.2658477444273</c:v>
                </c:pt>
                <c:pt idx="19">
                  <c:v>36.1827786339898</c:v>
                </c:pt>
                <c:pt idx="20">
                  <c:v>36.0953893117886</c:v>
                </c:pt>
                <c:pt idx="21">
                  <c:v>36.003706397458</c:v>
                </c:pt>
                <c:pt idx="22">
                  <c:v>35.9077578185018</c:v>
                </c:pt>
                <c:pt idx="23">
                  <c:v>35.8075728017866</c:v>
                </c:pt>
                <c:pt idx="24">
                  <c:v>35.703181864639</c:v>
                </c:pt>
                <c:pt idx="25">
                  <c:v>35.5946168055497</c:v>
                </c:pt>
                <c:pt idx="26">
                  <c:v>35.4819106944875</c:v>
                </c:pt>
                <c:pt idx="27">
                  <c:v>35.3650978628255</c:v>
                </c:pt>
                <c:pt idx="28">
                  <c:v>35.2442138928839</c:v>
                </c:pt>
                <c:pt idx="29">
                  <c:v>35.1192956070909</c:v>
                </c:pt>
                <c:pt idx="30">
                  <c:v>34.9903810567666</c:v>
                </c:pt>
                <c:pt idx="31">
                  <c:v>34.8575095105317</c:v>
                </c:pt>
                <c:pt idx="32">
                  <c:v>34.7207214423464</c:v>
                </c:pt>
                <c:pt idx="33">
                  <c:v>34.5800585191814</c:v>
                </c:pt>
                <c:pt idx="34">
                  <c:v>34.4355635883256</c:v>
                </c:pt>
                <c:pt idx="35">
                  <c:v>34.2872806643349</c:v>
                </c:pt>
                <c:pt idx="36">
                  <c:v>34.1352549156242</c:v>
                </c:pt>
                <c:pt idx="37">
                  <c:v>33.9795326507094</c:v>
                </c:pt>
                <c:pt idx="38">
                  <c:v>33.8201613041008</c:v>
                </c:pt>
                <c:pt idx="39">
                  <c:v>33.6571894218546</c:v>
                </c:pt>
                <c:pt idx="40">
                  <c:v>33.4906666467847</c:v>
                </c:pt>
                <c:pt idx="41">
                  <c:v>33.3206437033416</c:v>
                </c:pt>
                <c:pt idx="42">
                  <c:v>33.1471723821609</c:v>
                </c:pt>
                <c:pt idx="43">
                  <c:v>32.9703055242876</c:v>
                </c:pt>
                <c:pt idx="44">
                  <c:v>32.7900970050798</c:v>
                </c:pt>
                <c:pt idx="45">
                  <c:v>32.6066017177982</c:v>
                </c:pt>
                <c:pt idx="46">
                  <c:v>32.419875556885</c:v>
                </c:pt>
                <c:pt idx="47">
                  <c:v>32.2299754009375</c:v>
                </c:pt>
                <c:pt idx="48">
                  <c:v>32.0369590953829</c:v>
                </c:pt>
                <c:pt idx="49">
                  <c:v>31.8408854348576</c:v>
                </c:pt>
                <c:pt idx="50">
                  <c:v>31.6418141452981</c:v>
                </c:pt>
                <c:pt idx="51">
                  <c:v>31.4398058657476</c:v>
                </c:pt>
                <c:pt idx="52">
                  <c:v>31.2349221298849</c:v>
                </c:pt>
                <c:pt idx="53">
                  <c:v>31.0272253472807</c:v>
                </c:pt>
                <c:pt idx="54">
                  <c:v>30.8167787843871</c:v>
                </c:pt>
                <c:pt idx="55">
                  <c:v>30.6036465452657</c:v>
                </c:pt>
                <c:pt idx="56">
                  <c:v>30.3878935520612</c:v>
                </c:pt>
                <c:pt idx="57">
                  <c:v>30.1695855252254</c:v>
                </c:pt>
                <c:pt idx="58">
                  <c:v>29.9487889634981</c:v>
                </c:pt>
                <c:pt idx="59">
                  <c:v>29.7255711236508</c:v>
                </c:pt>
                <c:pt idx="60">
                  <c:v>29.5</c:v>
                </c:pt>
                <c:pt idx="61">
                  <c:v>29.2721443036951</c:v>
                </c:pt>
                <c:pt idx="62">
                  <c:v>29.0420734417884</c:v>
                </c:pt>
                <c:pt idx="63">
                  <c:v>28.8098574960932</c:v>
                </c:pt>
                <c:pt idx="64">
                  <c:v>28.5755672018362</c:v>
                </c:pt>
                <c:pt idx="65">
                  <c:v>28.3392739261105</c:v>
                </c:pt>
                <c:pt idx="66">
                  <c:v>28.101049646137</c:v>
                </c:pt>
                <c:pt idx="67">
                  <c:v>27.8609669273391</c:v>
                </c:pt>
                <c:pt idx="68">
                  <c:v>27.6190989012387</c:v>
                </c:pt>
                <c:pt idx="69">
                  <c:v>27.3755192431795</c:v>
                </c:pt>
                <c:pt idx="70">
                  <c:v>27.130302149885</c:v>
                </c:pt>
                <c:pt idx="71">
                  <c:v>26.8835223168574</c:v>
                </c:pt>
                <c:pt idx="72">
                  <c:v>26.6352549156242</c:v>
                </c:pt>
                <c:pt idx="73">
                  <c:v>26.3855755708411</c:v>
                </c:pt>
                <c:pt idx="74">
                  <c:v>26.134560337255</c:v>
                </c:pt>
                <c:pt idx="75">
                  <c:v>25.8822856765378</c:v>
                </c:pt>
                <c:pt idx="76">
                  <c:v>25.628828433995</c:v>
                </c:pt>
                <c:pt idx="77">
                  <c:v>25.374265815158</c:v>
                </c:pt>
                <c:pt idx="78">
                  <c:v>25.1186753622664</c:v>
                </c:pt>
                <c:pt idx="79">
                  <c:v>24.8621349306482</c:v>
                </c:pt>
                <c:pt idx="80">
                  <c:v>24.604722665004</c:v>
                </c:pt>
                <c:pt idx="81">
                  <c:v>24.3465169756035</c:v>
                </c:pt>
                <c:pt idx="82">
                  <c:v>24.087596514401</c:v>
                </c:pt>
                <c:pt idx="83">
                  <c:v>23.8280401510772</c:v>
                </c:pt>
                <c:pt idx="84">
                  <c:v>23.5679269490148</c:v>
                </c:pt>
                <c:pt idx="85">
                  <c:v>23.3073361412149</c:v>
                </c:pt>
                <c:pt idx="86">
                  <c:v>23.0463471061619</c:v>
                </c:pt>
                <c:pt idx="87">
                  <c:v>22.7850393436442</c:v>
                </c:pt>
                <c:pt idx="88">
                  <c:v>22.5234924505375</c:v>
                </c:pt>
                <c:pt idx="89">
                  <c:v>22.2617860965593</c:v>
                </c:pt>
                <c:pt idx="90">
                  <c:v>22</c:v>
                </c:pt>
                <c:pt idx="91">
                  <c:v>21.7382139034407</c:v>
                </c:pt>
                <c:pt idx="92">
                  <c:v>21.4765075494625</c:v>
                </c:pt>
                <c:pt idx="93">
                  <c:v>21.2149606563558</c:v>
                </c:pt>
                <c:pt idx="94">
                  <c:v>20.9536528938381</c:v>
                </c:pt>
                <c:pt idx="95">
                  <c:v>20.6926638587851</c:v>
                </c:pt>
                <c:pt idx="96">
                  <c:v>20.4320730509852</c:v>
                </c:pt>
                <c:pt idx="97">
                  <c:v>20.1719598489228</c:v>
                </c:pt>
                <c:pt idx="98">
                  <c:v>19.912403485599</c:v>
                </c:pt>
                <c:pt idx="99">
                  <c:v>19.6534830243965</c:v>
                </c:pt>
                <c:pt idx="100">
                  <c:v>19.395277334996</c:v>
                </c:pt>
                <c:pt idx="101">
                  <c:v>19.1378650693518</c:v>
                </c:pt>
                <c:pt idx="102">
                  <c:v>18.8813246377336</c:v>
                </c:pt>
                <c:pt idx="103">
                  <c:v>18.625734184842</c:v>
                </c:pt>
                <c:pt idx="104">
                  <c:v>18.371171566005</c:v>
                </c:pt>
                <c:pt idx="105">
                  <c:v>18.1177143234622</c:v>
                </c:pt>
                <c:pt idx="106">
                  <c:v>17.865439662745</c:v>
                </c:pt>
                <c:pt idx="107">
                  <c:v>17.614424429159</c:v>
                </c:pt>
                <c:pt idx="108">
                  <c:v>17.3647450843758</c:v>
                </c:pt>
                <c:pt idx="109">
                  <c:v>17.1164776831427</c:v>
                </c:pt>
                <c:pt idx="110">
                  <c:v>16.869697850115</c:v>
                </c:pt>
                <c:pt idx="111">
                  <c:v>16.6244807568205</c:v>
                </c:pt>
                <c:pt idx="112">
                  <c:v>16.3809010987613</c:v>
                </c:pt>
                <c:pt idx="113">
                  <c:v>16.1390330726609</c:v>
                </c:pt>
                <c:pt idx="114">
                  <c:v>15.898950353863</c:v>
                </c:pt>
                <c:pt idx="115">
                  <c:v>15.6607260738895</c:v>
                </c:pt>
                <c:pt idx="116">
                  <c:v>15.4244327981638</c:v>
                </c:pt>
                <c:pt idx="117">
                  <c:v>15.1901425039068</c:v>
                </c:pt>
                <c:pt idx="118">
                  <c:v>14.9579265582116</c:v>
                </c:pt>
                <c:pt idx="119">
                  <c:v>14.7278556963049</c:v>
                </c:pt>
                <c:pt idx="120">
                  <c:v>14.5</c:v>
                </c:pt>
                <c:pt idx="121">
                  <c:v>14.2744288763492</c:v>
                </c:pt>
                <c:pt idx="122">
                  <c:v>14.0512110365019</c:v>
                </c:pt>
                <c:pt idx="123">
                  <c:v>13.8304144747746</c:v>
                </c:pt>
                <c:pt idx="124">
                  <c:v>13.6121064479388</c:v>
                </c:pt>
                <c:pt idx="125">
                  <c:v>13.3963534547343</c:v>
                </c:pt>
                <c:pt idx="126">
                  <c:v>13.1832212156129</c:v>
                </c:pt>
                <c:pt idx="127">
                  <c:v>12.9727746527193</c:v>
                </c:pt>
                <c:pt idx="128">
                  <c:v>12.7650778701151</c:v>
                </c:pt>
                <c:pt idx="129">
                  <c:v>12.5601941342524</c:v>
                </c:pt>
                <c:pt idx="130">
                  <c:v>12.3581858547019</c:v>
                </c:pt>
                <c:pt idx="131">
                  <c:v>12.1591145651424</c:v>
                </c:pt>
                <c:pt idx="132">
                  <c:v>11.9630409046171</c:v>
                </c:pt>
                <c:pt idx="133">
                  <c:v>11.7700245990625</c:v>
                </c:pt>
                <c:pt idx="134">
                  <c:v>11.580124443115</c:v>
                </c:pt>
                <c:pt idx="135">
                  <c:v>11.3933982822018</c:v>
                </c:pt>
                <c:pt idx="136">
                  <c:v>11.2099029949202</c:v>
                </c:pt>
                <c:pt idx="137">
                  <c:v>11.0296944757124</c:v>
                </c:pt>
                <c:pt idx="138">
                  <c:v>10.8528276178391</c:v>
                </c:pt>
                <c:pt idx="139">
                  <c:v>10.6793562966584</c:v>
                </c:pt>
                <c:pt idx="140">
                  <c:v>10.5093333532153</c:v>
                </c:pt>
                <c:pt idx="141">
                  <c:v>10.3428105781454</c:v>
                </c:pt>
                <c:pt idx="142">
                  <c:v>10.1798386958992</c:v>
                </c:pt>
                <c:pt idx="143">
                  <c:v>10.0204673492906</c:v>
                </c:pt>
                <c:pt idx="144">
                  <c:v>9.86474508437579</c:v>
                </c:pt>
                <c:pt idx="145">
                  <c:v>9.71271933566512</c:v>
                </c:pt>
                <c:pt idx="146">
                  <c:v>9.56443641167438</c:v>
                </c:pt>
                <c:pt idx="147">
                  <c:v>9.41994148081864</c:v>
                </c:pt>
                <c:pt idx="148">
                  <c:v>9.27927855765361</c:v>
                </c:pt>
                <c:pt idx="149">
                  <c:v>9.14249048946832</c:v>
                </c:pt>
                <c:pt idx="150">
                  <c:v>9.00961894323342</c:v>
                </c:pt>
                <c:pt idx="151">
                  <c:v>8.88070439290906</c:v>
                </c:pt>
                <c:pt idx="152">
                  <c:v>8.75578610711609</c:v>
                </c:pt>
                <c:pt idx="153">
                  <c:v>8.63490213717448</c:v>
                </c:pt>
                <c:pt idx="154">
                  <c:v>8.5180893055125</c:v>
                </c:pt>
                <c:pt idx="155">
                  <c:v>8.40538319445025</c:v>
                </c:pt>
                <c:pt idx="156">
                  <c:v>8.29681813536098</c:v>
                </c:pt>
                <c:pt idx="157">
                  <c:v>8.19242719821339</c:v>
                </c:pt>
                <c:pt idx="158">
                  <c:v>8.09224218149819</c:v>
                </c:pt>
                <c:pt idx="159">
                  <c:v>7.99629360254198</c:v>
                </c:pt>
                <c:pt idx="160">
                  <c:v>7.90461068821138</c:v>
                </c:pt>
                <c:pt idx="161">
                  <c:v>7.81722136601025</c:v>
                </c:pt>
                <c:pt idx="162">
                  <c:v>7.7341522555727</c:v>
                </c:pt>
                <c:pt idx="163">
                  <c:v>7.65542866055447</c:v>
                </c:pt>
                <c:pt idx="164">
                  <c:v>7.58107456092522</c:v>
                </c:pt>
                <c:pt idx="165">
                  <c:v>7.51111260566398</c:v>
                </c:pt>
                <c:pt idx="166">
                  <c:v>7.44556410586005</c:v>
                </c:pt>
                <c:pt idx="167">
                  <c:v>7.38444902822147</c:v>
                </c:pt>
                <c:pt idx="168">
                  <c:v>7.32778598899291</c:v>
                </c:pt>
                <c:pt idx="169">
                  <c:v>7.27559224828504</c:v>
                </c:pt>
                <c:pt idx="170">
                  <c:v>7.22788370481688</c:v>
                </c:pt>
                <c:pt idx="171">
                  <c:v>7.18467489107294</c:v>
                </c:pt>
                <c:pt idx="172">
                  <c:v>7.14597896887645</c:v>
                </c:pt>
                <c:pt idx="173">
                  <c:v>7.11180772538017</c:v>
                </c:pt>
                <c:pt idx="174">
                  <c:v>7.0821715694759</c:v>
                </c:pt>
                <c:pt idx="175">
                  <c:v>7.05707952862382</c:v>
                </c:pt>
                <c:pt idx="176">
                  <c:v>7.03653924610264</c:v>
                </c:pt>
                <c:pt idx="177">
                  <c:v>7.02055697868139</c:v>
                </c:pt>
                <c:pt idx="178">
                  <c:v>7.00913759471356</c:v>
                </c:pt>
                <c:pt idx="179">
                  <c:v>7.00228457265413</c:v>
                </c:pt>
                <c:pt idx="180">
                  <c:v>7</c:v>
                </c:pt>
                <c:pt idx="181">
                  <c:v>7.00228457265413</c:v>
                </c:pt>
                <c:pt idx="182">
                  <c:v>7.00913759471356</c:v>
                </c:pt>
                <c:pt idx="183">
                  <c:v>7.02055697868139</c:v>
                </c:pt>
                <c:pt idx="184">
                  <c:v>7.03653924610263</c:v>
                </c:pt>
                <c:pt idx="185">
                  <c:v>7.05707952862382</c:v>
                </c:pt>
                <c:pt idx="186">
                  <c:v>7.0821715694759</c:v>
                </c:pt>
                <c:pt idx="187">
                  <c:v>7.11180772538017</c:v>
                </c:pt>
                <c:pt idx="188">
                  <c:v>7.14597896887645</c:v>
                </c:pt>
                <c:pt idx="189">
                  <c:v>7.18467489107293</c:v>
                </c:pt>
                <c:pt idx="190">
                  <c:v>7.22788370481688</c:v>
                </c:pt>
                <c:pt idx="191">
                  <c:v>7.27559224828504</c:v>
                </c:pt>
                <c:pt idx="192">
                  <c:v>7.32778598899291</c:v>
                </c:pt>
                <c:pt idx="193">
                  <c:v>7.38444902822147</c:v>
                </c:pt>
                <c:pt idx="194">
                  <c:v>7.44556410586005</c:v>
                </c:pt>
                <c:pt idx="195">
                  <c:v>7.51111260566397</c:v>
                </c:pt>
                <c:pt idx="196">
                  <c:v>7.58107456092521</c:v>
                </c:pt>
                <c:pt idx="197">
                  <c:v>7.65542866055447</c:v>
                </c:pt>
                <c:pt idx="198">
                  <c:v>7.7341522555727</c:v>
                </c:pt>
                <c:pt idx="199">
                  <c:v>7.81722136601025</c:v>
                </c:pt>
                <c:pt idx="200">
                  <c:v>7.90461068821137</c:v>
                </c:pt>
                <c:pt idx="201">
                  <c:v>7.99629360254197</c:v>
                </c:pt>
                <c:pt idx="202">
                  <c:v>8.09224218149819</c:v>
                </c:pt>
                <c:pt idx="203">
                  <c:v>8.19242719821339</c:v>
                </c:pt>
                <c:pt idx="204">
                  <c:v>8.29681813536098</c:v>
                </c:pt>
                <c:pt idx="205">
                  <c:v>8.40538319445025</c:v>
                </c:pt>
                <c:pt idx="206">
                  <c:v>8.51808930551249</c:v>
                </c:pt>
                <c:pt idx="207">
                  <c:v>8.63490213717448</c:v>
                </c:pt>
                <c:pt idx="208">
                  <c:v>8.75578610711609</c:v>
                </c:pt>
                <c:pt idx="209">
                  <c:v>8.88070439290906</c:v>
                </c:pt>
                <c:pt idx="210">
                  <c:v>9.00961894323342</c:v>
                </c:pt>
                <c:pt idx="211">
                  <c:v>9.14249048946832</c:v>
                </c:pt>
                <c:pt idx="212">
                  <c:v>9.27927855765361</c:v>
                </c:pt>
                <c:pt idx="213">
                  <c:v>9.41994148081864</c:v>
                </c:pt>
                <c:pt idx="214">
                  <c:v>9.56443641167437</c:v>
                </c:pt>
                <c:pt idx="215">
                  <c:v>9.71271933566512</c:v>
                </c:pt>
                <c:pt idx="216">
                  <c:v>9.86474508437579</c:v>
                </c:pt>
                <c:pt idx="217">
                  <c:v>10.0204673492906</c:v>
                </c:pt>
                <c:pt idx="218">
                  <c:v>10.1798386958992</c:v>
                </c:pt>
                <c:pt idx="219">
                  <c:v>10.3428105781454</c:v>
                </c:pt>
                <c:pt idx="220">
                  <c:v>10.5093333532153</c:v>
                </c:pt>
                <c:pt idx="221">
                  <c:v>10.6793562966584</c:v>
                </c:pt>
                <c:pt idx="222">
                  <c:v>10.8528276178391</c:v>
                </c:pt>
                <c:pt idx="223">
                  <c:v>11.0296944757124</c:v>
                </c:pt>
                <c:pt idx="224">
                  <c:v>11.2099029949202</c:v>
                </c:pt>
                <c:pt idx="225">
                  <c:v>11.3933982822018</c:v>
                </c:pt>
                <c:pt idx="226">
                  <c:v>11.580124443115</c:v>
                </c:pt>
                <c:pt idx="227">
                  <c:v>11.7700245990625</c:v>
                </c:pt>
                <c:pt idx="228">
                  <c:v>11.9630409046171</c:v>
                </c:pt>
                <c:pt idx="229">
                  <c:v>12.1591145651424</c:v>
                </c:pt>
                <c:pt idx="230">
                  <c:v>12.3581858547019</c:v>
                </c:pt>
                <c:pt idx="231">
                  <c:v>12.5601941342524</c:v>
                </c:pt>
                <c:pt idx="232">
                  <c:v>12.7650778701151</c:v>
                </c:pt>
                <c:pt idx="233">
                  <c:v>12.9727746527193</c:v>
                </c:pt>
                <c:pt idx="234">
                  <c:v>13.1832212156129</c:v>
                </c:pt>
                <c:pt idx="235">
                  <c:v>13.3963534547343</c:v>
                </c:pt>
                <c:pt idx="236">
                  <c:v>13.6121064479388</c:v>
                </c:pt>
                <c:pt idx="237">
                  <c:v>13.8304144747746</c:v>
                </c:pt>
                <c:pt idx="238">
                  <c:v>14.0512110365019</c:v>
                </c:pt>
                <c:pt idx="239">
                  <c:v>14.2744288763492</c:v>
                </c:pt>
                <c:pt idx="240">
                  <c:v>14.5</c:v>
                </c:pt>
                <c:pt idx="241">
                  <c:v>14.7278556963049</c:v>
                </c:pt>
                <c:pt idx="242">
                  <c:v>14.9579265582116</c:v>
                </c:pt>
                <c:pt idx="243">
                  <c:v>15.1901425039068</c:v>
                </c:pt>
                <c:pt idx="244">
                  <c:v>15.4244327981638</c:v>
                </c:pt>
                <c:pt idx="245">
                  <c:v>15.6607260738895</c:v>
                </c:pt>
                <c:pt idx="246">
                  <c:v>15.898950353863</c:v>
                </c:pt>
                <c:pt idx="247">
                  <c:v>16.1390330726609</c:v>
                </c:pt>
                <c:pt idx="248">
                  <c:v>16.3809010987613</c:v>
                </c:pt>
                <c:pt idx="249">
                  <c:v>16.6244807568205</c:v>
                </c:pt>
                <c:pt idx="250">
                  <c:v>16.869697850115</c:v>
                </c:pt>
                <c:pt idx="251">
                  <c:v>17.1164776831427</c:v>
                </c:pt>
                <c:pt idx="252">
                  <c:v>17.3647450843758</c:v>
                </c:pt>
                <c:pt idx="253">
                  <c:v>17.6144244291589</c:v>
                </c:pt>
                <c:pt idx="254">
                  <c:v>17.865439662745</c:v>
                </c:pt>
                <c:pt idx="255">
                  <c:v>18.1177143234622</c:v>
                </c:pt>
                <c:pt idx="256">
                  <c:v>18.371171566005</c:v>
                </c:pt>
                <c:pt idx="257">
                  <c:v>18.625734184842</c:v>
                </c:pt>
                <c:pt idx="258">
                  <c:v>18.8813246377336</c:v>
                </c:pt>
                <c:pt idx="259">
                  <c:v>19.1378650693518</c:v>
                </c:pt>
                <c:pt idx="260">
                  <c:v>19.395277334996</c:v>
                </c:pt>
                <c:pt idx="261">
                  <c:v>19.6534830243965</c:v>
                </c:pt>
                <c:pt idx="262">
                  <c:v>19.912403485599</c:v>
                </c:pt>
                <c:pt idx="263">
                  <c:v>20.1719598489228</c:v>
                </c:pt>
                <c:pt idx="264">
                  <c:v>20.4320730509852</c:v>
                </c:pt>
                <c:pt idx="265">
                  <c:v>20.6926638587851</c:v>
                </c:pt>
                <c:pt idx="266">
                  <c:v>20.9536528938381</c:v>
                </c:pt>
                <c:pt idx="267">
                  <c:v>21.2149606563558</c:v>
                </c:pt>
                <c:pt idx="268">
                  <c:v>21.4765075494625</c:v>
                </c:pt>
                <c:pt idx="269">
                  <c:v>21.7382139034407</c:v>
                </c:pt>
                <c:pt idx="270">
                  <c:v>22</c:v>
                </c:pt>
                <c:pt idx="271">
                  <c:v>22.2617860965592</c:v>
                </c:pt>
                <c:pt idx="272">
                  <c:v>22.5234924505375</c:v>
                </c:pt>
                <c:pt idx="273">
                  <c:v>22.7850393436441</c:v>
                </c:pt>
                <c:pt idx="274">
                  <c:v>23.0463471061619</c:v>
                </c:pt>
                <c:pt idx="275">
                  <c:v>23.3073361412149</c:v>
                </c:pt>
                <c:pt idx="276">
                  <c:v>23.5679269490148</c:v>
                </c:pt>
                <c:pt idx="277">
                  <c:v>23.8280401510772</c:v>
                </c:pt>
                <c:pt idx="278">
                  <c:v>24.087596514401</c:v>
                </c:pt>
                <c:pt idx="279">
                  <c:v>24.3465169756035</c:v>
                </c:pt>
                <c:pt idx="280">
                  <c:v>24.6047226650039</c:v>
                </c:pt>
                <c:pt idx="281">
                  <c:v>24.8621349306482</c:v>
                </c:pt>
                <c:pt idx="282">
                  <c:v>25.1186753622664</c:v>
                </c:pt>
                <c:pt idx="283">
                  <c:v>25.374265815158</c:v>
                </c:pt>
                <c:pt idx="284">
                  <c:v>25.628828433995</c:v>
                </c:pt>
                <c:pt idx="285">
                  <c:v>25.8822856765378</c:v>
                </c:pt>
                <c:pt idx="286">
                  <c:v>26.134560337255</c:v>
                </c:pt>
                <c:pt idx="287">
                  <c:v>26.3855755708411</c:v>
                </c:pt>
                <c:pt idx="288">
                  <c:v>26.6352549156242</c:v>
                </c:pt>
                <c:pt idx="289">
                  <c:v>26.8835223168573</c:v>
                </c:pt>
                <c:pt idx="290">
                  <c:v>27.130302149885</c:v>
                </c:pt>
                <c:pt idx="291">
                  <c:v>27.3755192431795</c:v>
                </c:pt>
                <c:pt idx="292">
                  <c:v>27.6190989012387</c:v>
                </c:pt>
                <c:pt idx="293">
                  <c:v>27.8609669273391</c:v>
                </c:pt>
                <c:pt idx="294">
                  <c:v>28.101049646137</c:v>
                </c:pt>
                <c:pt idx="295">
                  <c:v>28.3392739261105</c:v>
                </c:pt>
                <c:pt idx="296">
                  <c:v>28.5755672018362</c:v>
                </c:pt>
                <c:pt idx="297">
                  <c:v>28.8098574960932</c:v>
                </c:pt>
                <c:pt idx="298">
                  <c:v>29.0420734417884</c:v>
                </c:pt>
                <c:pt idx="299">
                  <c:v>29.2721443036951</c:v>
                </c:pt>
                <c:pt idx="300">
                  <c:v>29.5</c:v>
                </c:pt>
                <c:pt idx="301">
                  <c:v>29.7255711236508</c:v>
                </c:pt>
                <c:pt idx="302">
                  <c:v>29.9487889634981</c:v>
                </c:pt>
                <c:pt idx="303">
                  <c:v>30.1695855252254</c:v>
                </c:pt>
                <c:pt idx="304">
                  <c:v>30.3878935520612</c:v>
                </c:pt>
                <c:pt idx="305">
                  <c:v>30.6036465452657</c:v>
                </c:pt>
                <c:pt idx="306">
                  <c:v>30.8167787843871</c:v>
                </c:pt>
                <c:pt idx="307">
                  <c:v>31.0272253472807</c:v>
                </c:pt>
                <c:pt idx="308">
                  <c:v>31.2349221298849</c:v>
                </c:pt>
                <c:pt idx="309">
                  <c:v>31.4398058657476</c:v>
                </c:pt>
                <c:pt idx="310">
                  <c:v>31.6418141452981</c:v>
                </c:pt>
                <c:pt idx="311">
                  <c:v>31.8408854348576</c:v>
                </c:pt>
                <c:pt idx="312">
                  <c:v>32.0369590953829</c:v>
                </c:pt>
                <c:pt idx="313">
                  <c:v>32.2299754009375</c:v>
                </c:pt>
                <c:pt idx="314">
                  <c:v>32.419875556885</c:v>
                </c:pt>
                <c:pt idx="315">
                  <c:v>32.6066017177982</c:v>
                </c:pt>
                <c:pt idx="316">
                  <c:v>32.7900970050798</c:v>
                </c:pt>
                <c:pt idx="317">
                  <c:v>32.9703055242876</c:v>
                </c:pt>
                <c:pt idx="318">
                  <c:v>33.1471723821609</c:v>
                </c:pt>
                <c:pt idx="319">
                  <c:v>33.3206437033416</c:v>
                </c:pt>
                <c:pt idx="320">
                  <c:v>33.4906666467847</c:v>
                </c:pt>
                <c:pt idx="321">
                  <c:v>33.6571894218546</c:v>
                </c:pt>
                <c:pt idx="322">
                  <c:v>33.8201613041008</c:v>
                </c:pt>
                <c:pt idx="323">
                  <c:v>33.9795326507094</c:v>
                </c:pt>
                <c:pt idx="324">
                  <c:v>34.1352549156242</c:v>
                </c:pt>
                <c:pt idx="325">
                  <c:v>34.2872806643349</c:v>
                </c:pt>
                <c:pt idx="326">
                  <c:v>34.4355635883256</c:v>
                </c:pt>
                <c:pt idx="327">
                  <c:v>34.5800585191814</c:v>
                </c:pt>
                <c:pt idx="328">
                  <c:v>34.7207214423464</c:v>
                </c:pt>
                <c:pt idx="329">
                  <c:v>34.8575095105317</c:v>
                </c:pt>
                <c:pt idx="330">
                  <c:v>34.9903810567666</c:v>
                </c:pt>
                <c:pt idx="331">
                  <c:v>35.1192956070909</c:v>
                </c:pt>
                <c:pt idx="332">
                  <c:v>35.2442138928839</c:v>
                </c:pt>
                <c:pt idx="333">
                  <c:v>35.3650978628255</c:v>
                </c:pt>
                <c:pt idx="334">
                  <c:v>35.4819106944875</c:v>
                </c:pt>
                <c:pt idx="335">
                  <c:v>35.5946168055497</c:v>
                </c:pt>
                <c:pt idx="336">
                  <c:v>35.703181864639</c:v>
                </c:pt>
                <c:pt idx="337">
                  <c:v>35.8075728017866</c:v>
                </c:pt>
                <c:pt idx="338">
                  <c:v>35.9077578185018</c:v>
                </c:pt>
                <c:pt idx="339">
                  <c:v>36.003706397458</c:v>
                </c:pt>
                <c:pt idx="340">
                  <c:v>36.0953893117886</c:v>
                </c:pt>
                <c:pt idx="341">
                  <c:v>36.1827786339898</c:v>
                </c:pt>
                <c:pt idx="342">
                  <c:v>36.2658477444273</c:v>
                </c:pt>
                <c:pt idx="343">
                  <c:v>36.3445713394455</c:v>
                </c:pt>
                <c:pt idx="344">
                  <c:v>36.4189254390748</c:v>
                </c:pt>
                <c:pt idx="345">
                  <c:v>36.488887394336</c:v>
                </c:pt>
                <c:pt idx="346">
                  <c:v>36.5544358941399</c:v>
                </c:pt>
                <c:pt idx="347">
                  <c:v>36.6155509717785</c:v>
                </c:pt>
                <c:pt idx="348">
                  <c:v>36.6722140110071</c:v>
                </c:pt>
                <c:pt idx="349">
                  <c:v>36.724407751715</c:v>
                </c:pt>
                <c:pt idx="350">
                  <c:v>36.7721162951831</c:v>
                </c:pt>
                <c:pt idx="351">
                  <c:v>36.8153251089271</c:v>
                </c:pt>
                <c:pt idx="352">
                  <c:v>36.8540210311236</c:v>
                </c:pt>
                <c:pt idx="353">
                  <c:v>36.8881922746198</c:v>
                </c:pt>
                <c:pt idx="354">
                  <c:v>36.9178284305241</c:v>
                </c:pt>
                <c:pt idx="355">
                  <c:v>36.9429204713762</c:v>
                </c:pt>
                <c:pt idx="356">
                  <c:v>36.9634607538974</c:v>
                </c:pt>
                <c:pt idx="357">
                  <c:v>36.9794430213186</c:v>
                </c:pt>
                <c:pt idx="358">
                  <c:v>36.9908624052864</c:v>
                </c:pt>
                <c:pt idx="359">
                  <c:v>36.9977154273459</c:v>
                </c:pt>
                <c:pt idx="360">
                  <c:v>37</c:v>
                </c:pt>
              </c:numCache>
            </c:numRef>
          </c:xVal>
          <c:yVal>
            <c:numRef>
              <c:f>试加重示意图!$C$10001:$C$10361</c:f>
              <c:numCache>
                <c:formatCode>General</c:formatCode>
                <c:ptCount val="361"/>
                <c:pt idx="0">
                  <c:v>22</c:v>
                </c:pt>
                <c:pt idx="1">
                  <c:v>22.2617860965593</c:v>
                </c:pt>
                <c:pt idx="2">
                  <c:v>22.5234924505375</c:v>
                </c:pt>
                <c:pt idx="3">
                  <c:v>22.7850393436442</c:v>
                </c:pt>
                <c:pt idx="4">
                  <c:v>23.0463471061619</c:v>
                </c:pt>
                <c:pt idx="5">
                  <c:v>23.3073361412149</c:v>
                </c:pt>
                <c:pt idx="6">
                  <c:v>23.5679269490148</c:v>
                </c:pt>
                <c:pt idx="7">
                  <c:v>23.8280401510772</c:v>
                </c:pt>
                <c:pt idx="8">
                  <c:v>24.087596514401</c:v>
                </c:pt>
                <c:pt idx="9">
                  <c:v>24.3465169756035</c:v>
                </c:pt>
                <c:pt idx="10">
                  <c:v>24.604722665004</c:v>
                </c:pt>
                <c:pt idx="11">
                  <c:v>24.8621349306482</c:v>
                </c:pt>
                <c:pt idx="12">
                  <c:v>25.1186753622664</c:v>
                </c:pt>
                <c:pt idx="13">
                  <c:v>25.374265815158</c:v>
                </c:pt>
                <c:pt idx="14">
                  <c:v>25.628828433995</c:v>
                </c:pt>
                <c:pt idx="15">
                  <c:v>25.8822856765378</c:v>
                </c:pt>
                <c:pt idx="16">
                  <c:v>26.134560337255</c:v>
                </c:pt>
                <c:pt idx="17">
                  <c:v>26.3855755708411</c:v>
                </c:pt>
                <c:pt idx="18">
                  <c:v>26.6352549156242</c:v>
                </c:pt>
                <c:pt idx="19">
                  <c:v>26.8835223168574</c:v>
                </c:pt>
                <c:pt idx="20">
                  <c:v>27.130302149885</c:v>
                </c:pt>
                <c:pt idx="21">
                  <c:v>27.3755192431795</c:v>
                </c:pt>
                <c:pt idx="22">
                  <c:v>27.6190989012387</c:v>
                </c:pt>
                <c:pt idx="23">
                  <c:v>27.8609669273391</c:v>
                </c:pt>
                <c:pt idx="24">
                  <c:v>28.101049646137</c:v>
                </c:pt>
                <c:pt idx="25">
                  <c:v>28.3392739261105</c:v>
                </c:pt>
                <c:pt idx="26">
                  <c:v>28.5755672018362</c:v>
                </c:pt>
                <c:pt idx="27">
                  <c:v>28.8098574960932</c:v>
                </c:pt>
                <c:pt idx="28">
                  <c:v>29.0420734417884</c:v>
                </c:pt>
                <c:pt idx="29">
                  <c:v>29.2721443036951</c:v>
                </c:pt>
                <c:pt idx="30">
                  <c:v>29.5</c:v>
                </c:pt>
                <c:pt idx="31">
                  <c:v>29.7255711236508</c:v>
                </c:pt>
                <c:pt idx="32">
                  <c:v>29.9487889634981</c:v>
                </c:pt>
                <c:pt idx="33">
                  <c:v>30.1695855252254</c:v>
                </c:pt>
                <c:pt idx="34">
                  <c:v>30.3878935520612</c:v>
                </c:pt>
                <c:pt idx="35">
                  <c:v>30.6036465452657</c:v>
                </c:pt>
                <c:pt idx="36">
                  <c:v>30.8167787843871</c:v>
                </c:pt>
                <c:pt idx="37">
                  <c:v>31.0272253472807</c:v>
                </c:pt>
                <c:pt idx="38">
                  <c:v>31.2349221298849</c:v>
                </c:pt>
                <c:pt idx="39">
                  <c:v>31.4398058657476</c:v>
                </c:pt>
                <c:pt idx="40">
                  <c:v>31.6418141452981</c:v>
                </c:pt>
                <c:pt idx="41">
                  <c:v>31.8408854348576</c:v>
                </c:pt>
                <c:pt idx="42">
                  <c:v>32.0369590953829</c:v>
                </c:pt>
                <c:pt idx="43">
                  <c:v>32.2299754009375</c:v>
                </c:pt>
                <c:pt idx="44">
                  <c:v>32.419875556885</c:v>
                </c:pt>
                <c:pt idx="45">
                  <c:v>32.6066017177982</c:v>
                </c:pt>
                <c:pt idx="46">
                  <c:v>32.7900970050798</c:v>
                </c:pt>
                <c:pt idx="47">
                  <c:v>32.9703055242876</c:v>
                </c:pt>
                <c:pt idx="48">
                  <c:v>33.1471723821609</c:v>
                </c:pt>
                <c:pt idx="49">
                  <c:v>33.3206437033416</c:v>
                </c:pt>
                <c:pt idx="50">
                  <c:v>33.4906666467847</c:v>
                </c:pt>
                <c:pt idx="51">
                  <c:v>33.6571894218546</c:v>
                </c:pt>
                <c:pt idx="52">
                  <c:v>33.8201613041008</c:v>
                </c:pt>
                <c:pt idx="53">
                  <c:v>33.9795326507094</c:v>
                </c:pt>
                <c:pt idx="54">
                  <c:v>34.1352549156242</c:v>
                </c:pt>
                <c:pt idx="55">
                  <c:v>34.2872806643349</c:v>
                </c:pt>
                <c:pt idx="56">
                  <c:v>34.4355635883256</c:v>
                </c:pt>
                <c:pt idx="57">
                  <c:v>34.5800585191814</c:v>
                </c:pt>
                <c:pt idx="58">
                  <c:v>34.7207214423464</c:v>
                </c:pt>
                <c:pt idx="59">
                  <c:v>34.8575095105317</c:v>
                </c:pt>
                <c:pt idx="60">
                  <c:v>34.9903810567666</c:v>
                </c:pt>
                <c:pt idx="61">
                  <c:v>35.1192956070909</c:v>
                </c:pt>
                <c:pt idx="62">
                  <c:v>35.2442138928839</c:v>
                </c:pt>
                <c:pt idx="63">
                  <c:v>35.3650978628255</c:v>
                </c:pt>
                <c:pt idx="64">
                  <c:v>35.4819106944875</c:v>
                </c:pt>
                <c:pt idx="65">
                  <c:v>35.5946168055497</c:v>
                </c:pt>
                <c:pt idx="66">
                  <c:v>35.703181864639</c:v>
                </c:pt>
                <c:pt idx="67">
                  <c:v>35.8075728017866</c:v>
                </c:pt>
                <c:pt idx="68">
                  <c:v>35.9077578185018</c:v>
                </c:pt>
                <c:pt idx="69">
                  <c:v>36.003706397458</c:v>
                </c:pt>
                <c:pt idx="70">
                  <c:v>36.0953893117886</c:v>
                </c:pt>
                <c:pt idx="71">
                  <c:v>36.1827786339897</c:v>
                </c:pt>
                <c:pt idx="72">
                  <c:v>36.2658477444273</c:v>
                </c:pt>
                <c:pt idx="73">
                  <c:v>36.3445713394455</c:v>
                </c:pt>
                <c:pt idx="74">
                  <c:v>36.4189254390748</c:v>
                </c:pt>
                <c:pt idx="75">
                  <c:v>36.488887394336</c:v>
                </c:pt>
                <c:pt idx="76">
                  <c:v>36.5544358941399</c:v>
                </c:pt>
                <c:pt idx="77">
                  <c:v>36.6155509717785</c:v>
                </c:pt>
                <c:pt idx="78">
                  <c:v>36.6722140110071</c:v>
                </c:pt>
                <c:pt idx="79">
                  <c:v>36.724407751715</c:v>
                </c:pt>
                <c:pt idx="80">
                  <c:v>36.7721162951831</c:v>
                </c:pt>
                <c:pt idx="81">
                  <c:v>36.8153251089271</c:v>
                </c:pt>
                <c:pt idx="82">
                  <c:v>36.8540210311236</c:v>
                </c:pt>
                <c:pt idx="83">
                  <c:v>36.8881922746198</c:v>
                </c:pt>
                <c:pt idx="84">
                  <c:v>36.9178284305241</c:v>
                </c:pt>
                <c:pt idx="85">
                  <c:v>36.9429204713762</c:v>
                </c:pt>
                <c:pt idx="86">
                  <c:v>36.9634607538974</c:v>
                </c:pt>
                <c:pt idx="87">
                  <c:v>36.9794430213186</c:v>
                </c:pt>
                <c:pt idx="88">
                  <c:v>36.9908624052864</c:v>
                </c:pt>
                <c:pt idx="89">
                  <c:v>36.9977154273459</c:v>
                </c:pt>
                <c:pt idx="90">
                  <c:v>37</c:v>
                </c:pt>
                <c:pt idx="91">
                  <c:v>36.9977154273459</c:v>
                </c:pt>
                <c:pt idx="92">
                  <c:v>36.9908624052864</c:v>
                </c:pt>
                <c:pt idx="93">
                  <c:v>36.9794430213186</c:v>
                </c:pt>
                <c:pt idx="94">
                  <c:v>36.9634607538974</c:v>
                </c:pt>
                <c:pt idx="95">
                  <c:v>36.9429204713762</c:v>
                </c:pt>
                <c:pt idx="96">
                  <c:v>36.9178284305241</c:v>
                </c:pt>
                <c:pt idx="97">
                  <c:v>36.8881922746198</c:v>
                </c:pt>
                <c:pt idx="98">
                  <c:v>36.8540210311236</c:v>
                </c:pt>
                <c:pt idx="99">
                  <c:v>36.8153251089271</c:v>
                </c:pt>
                <c:pt idx="100">
                  <c:v>36.7721162951831</c:v>
                </c:pt>
                <c:pt idx="101">
                  <c:v>36.724407751715</c:v>
                </c:pt>
                <c:pt idx="102">
                  <c:v>36.6722140110071</c:v>
                </c:pt>
                <c:pt idx="103">
                  <c:v>36.6155509717785</c:v>
                </c:pt>
                <c:pt idx="104">
                  <c:v>36.5544358941399</c:v>
                </c:pt>
                <c:pt idx="105">
                  <c:v>36.488887394336</c:v>
                </c:pt>
                <c:pt idx="106">
                  <c:v>36.4189254390748</c:v>
                </c:pt>
                <c:pt idx="107">
                  <c:v>36.3445713394455</c:v>
                </c:pt>
                <c:pt idx="108">
                  <c:v>36.2658477444273</c:v>
                </c:pt>
                <c:pt idx="109">
                  <c:v>36.1827786339898</c:v>
                </c:pt>
                <c:pt idx="110">
                  <c:v>36.0953893117886</c:v>
                </c:pt>
                <c:pt idx="111">
                  <c:v>36.003706397458</c:v>
                </c:pt>
                <c:pt idx="112">
                  <c:v>35.9077578185018</c:v>
                </c:pt>
                <c:pt idx="113">
                  <c:v>35.8075728017866</c:v>
                </c:pt>
                <c:pt idx="114">
                  <c:v>35.703181864639</c:v>
                </c:pt>
                <c:pt idx="115">
                  <c:v>35.5946168055497</c:v>
                </c:pt>
                <c:pt idx="116">
                  <c:v>35.4819106944875</c:v>
                </c:pt>
                <c:pt idx="117">
                  <c:v>35.3650978628255</c:v>
                </c:pt>
                <c:pt idx="118">
                  <c:v>35.2442138928839</c:v>
                </c:pt>
                <c:pt idx="119">
                  <c:v>35.1192956070909</c:v>
                </c:pt>
                <c:pt idx="120">
                  <c:v>34.9903810567666</c:v>
                </c:pt>
                <c:pt idx="121">
                  <c:v>34.8575095105317</c:v>
                </c:pt>
                <c:pt idx="122">
                  <c:v>34.7207214423464</c:v>
                </c:pt>
                <c:pt idx="123">
                  <c:v>34.5800585191814</c:v>
                </c:pt>
                <c:pt idx="124">
                  <c:v>34.4355635883256</c:v>
                </c:pt>
                <c:pt idx="125">
                  <c:v>34.2872806643349</c:v>
                </c:pt>
                <c:pt idx="126">
                  <c:v>34.1352549156242</c:v>
                </c:pt>
                <c:pt idx="127">
                  <c:v>33.9795326507094</c:v>
                </c:pt>
                <c:pt idx="128">
                  <c:v>33.8201613041008</c:v>
                </c:pt>
                <c:pt idx="129">
                  <c:v>33.6571894218546</c:v>
                </c:pt>
                <c:pt idx="130">
                  <c:v>33.4906666467847</c:v>
                </c:pt>
                <c:pt idx="131">
                  <c:v>33.3206437033416</c:v>
                </c:pt>
                <c:pt idx="132">
                  <c:v>33.1471723821609</c:v>
                </c:pt>
                <c:pt idx="133">
                  <c:v>32.9703055242876</c:v>
                </c:pt>
                <c:pt idx="134">
                  <c:v>32.7900970050798</c:v>
                </c:pt>
                <c:pt idx="135">
                  <c:v>32.6066017177982</c:v>
                </c:pt>
                <c:pt idx="136">
                  <c:v>32.419875556885</c:v>
                </c:pt>
                <c:pt idx="137">
                  <c:v>32.2299754009375</c:v>
                </c:pt>
                <c:pt idx="138">
                  <c:v>32.0369590953829</c:v>
                </c:pt>
                <c:pt idx="139">
                  <c:v>31.8408854348576</c:v>
                </c:pt>
                <c:pt idx="140">
                  <c:v>31.6418141452981</c:v>
                </c:pt>
                <c:pt idx="141">
                  <c:v>31.4398058657476</c:v>
                </c:pt>
                <c:pt idx="142">
                  <c:v>31.2349221298849</c:v>
                </c:pt>
                <c:pt idx="143">
                  <c:v>31.0272253472807</c:v>
                </c:pt>
                <c:pt idx="144">
                  <c:v>30.8167787843871</c:v>
                </c:pt>
                <c:pt idx="145">
                  <c:v>30.6036465452657</c:v>
                </c:pt>
                <c:pt idx="146">
                  <c:v>30.3878935520612</c:v>
                </c:pt>
                <c:pt idx="147">
                  <c:v>30.1695855252254</c:v>
                </c:pt>
                <c:pt idx="148">
                  <c:v>29.9487889634981</c:v>
                </c:pt>
                <c:pt idx="149">
                  <c:v>29.7255711236508</c:v>
                </c:pt>
                <c:pt idx="150">
                  <c:v>29.5</c:v>
                </c:pt>
                <c:pt idx="151">
                  <c:v>29.2721443036951</c:v>
                </c:pt>
                <c:pt idx="152">
                  <c:v>29.0420734417884</c:v>
                </c:pt>
                <c:pt idx="153">
                  <c:v>28.8098574960932</c:v>
                </c:pt>
                <c:pt idx="154">
                  <c:v>28.5755672018362</c:v>
                </c:pt>
                <c:pt idx="155">
                  <c:v>28.3392739261105</c:v>
                </c:pt>
                <c:pt idx="156">
                  <c:v>28.101049646137</c:v>
                </c:pt>
                <c:pt idx="157">
                  <c:v>27.8609669273391</c:v>
                </c:pt>
                <c:pt idx="158">
                  <c:v>27.6190989012387</c:v>
                </c:pt>
                <c:pt idx="159">
                  <c:v>27.3755192431795</c:v>
                </c:pt>
                <c:pt idx="160">
                  <c:v>27.130302149885</c:v>
                </c:pt>
                <c:pt idx="161">
                  <c:v>26.8835223168573</c:v>
                </c:pt>
                <c:pt idx="162">
                  <c:v>26.6352549156242</c:v>
                </c:pt>
                <c:pt idx="163">
                  <c:v>26.3855755708411</c:v>
                </c:pt>
                <c:pt idx="164">
                  <c:v>26.134560337255</c:v>
                </c:pt>
                <c:pt idx="165">
                  <c:v>25.8822856765378</c:v>
                </c:pt>
                <c:pt idx="166">
                  <c:v>25.628828433995</c:v>
                </c:pt>
                <c:pt idx="167">
                  <c:v>25.374265815158</c:v>
                </c:pt>
                <c:pt idx="168">
                  <c:v>25.1186753622664</c:v>
                </c:pt>
                <c:pt idx="169">
                  <c:v>24.8621349306482</c:v>
                </c:pt>
                <c:pt idx="170">
                  <c:v>24.604722665004</c:v>
                </c:pt>
                <c:pt idx="171">
                  <c:v>24.3465169756035</c:v>
                </c:pt>
                <c:pt idx="172">
                  <c:v>24.087596514401</c:v>
                </c:pt>
                <c:pt idx="173">
                  <c:v>23.8280401510772</c:v>
                </c:pt>
                <c:pt idx="174">
                  <c:v>23.5679269490148</c:v>
                </c:pt>
                <c:pt idx="175">
                  <c:v>23.3073361412149</c:v>
                </c:pt>
                <c:pt idx="176">
                  <c:v>23.0463471061619</c:v>
                </c:pt>
                <c:pt idx="177">
                  <c:v>22.7850393436442</c:v>
                </c:pt>
                <c:pt idx="178">
                  <c:v>22.5234924505375</c:v>
                </c:pt>
                <c:pt idx="179">
                  <c:v>22.2617860965593</c:v>
                </c:pt>
                <c:pt idx="180">
                  <c:v>22</c:v>
                </c:pt>
                <c:pt idx="181">
                  <c:v>21.7382139034408</c:v>
                </c:pt>
                <c:pt idx="182">
                  <c:v>21.4765075494625</c:v>
                </c:pt>
                <c:pt idx="183">
                  <c:v>21.2149606563558</c:v>
                </c:pt>
                <c:pt idx="184">
                  <c:v>20.9536528938381</c:v>
                </c:pt>
                <c:pt idx="185">
                  <c:v>20.6926638587851</c:v>
                </c:pt>
                <c:pt idx="186">
                  <c:v>20.4320730509852</c:v>
                </c:pt>
                <c:pt idx="187">
                  <c:v>20.1719598489228</c:v>
                </c:pt>
                <c:pt idx="188">
                  <c:v>19.912403485599</c:v>
                </c:pt>
                <c:pt idx="189">
                  <c:v>19.6534830243965</c:v>
                </c:pt>
                <c:pt idx="190">
                  <c:v>19.395277334996</c:v>
                </c:pt>
                <c:pt idx="191">
                  <c:v>19.1378650693518</c:v>
                </c:pt>
                <c:pt idx="192">
                  <c:v>18.8813246377336</c:v>
                </c:pt>
                <c:pt idx="193">
                  <c:v>18.625734184842</c:v>
                </c:pt>
                <c:pt idx="194">
                  <c:v>18.371171566005</c:v>
                </c:pt>
                <c:pt idx="195">
                  <c:v>18.1177143234622</c:v>
                </c:pt>
                <c:pt idx="196">
                  <c:v>17.865439662745</c:v>
                </c:pt>
                <c:pt idx="197">
                  <c:v>17.6144244291589</c:v>
                </c:pt>
                <c:pt idx="198">
                  <c:v>17.3647450843758</c:v>
                </c:pt>
                <c:pt idx="199">
                  <c:v>17.1164776831426</c:v>
                </c:pt>
                <c:pt idx="200">
                  <c:v>16.869697850115</c:v>
                </c:pt>
                <c:pt idx="201">
                  <c:v>16.6244807568205</c:v>
                </c:pt>
                <c:pt idx="202">
                  <c:v>16.3809010987613</c:v>
                </c:pt>
                <c:pt idx="203">
                  <c:v>16.1390330726609</c:v>
                </c:pt>
                <c:pt idx="204">
                  <c:v>15.898950353863</c:v>
                </c:pt>
                <c:pt idx="205">
                  <c:v>15.6607260738895</c:v>
                </c:pt>
                <c:pt idx="206">
                  <c:v>15.4244327981638</c:v>
                </c:pt>
                <c:pt idx="207">
                  <c:v>15.1901425039068</c:v>
                </c:pt>
                <c:pt idx="208">
                  <c:v>14.9579265582116</c:v>
                </c:pt>
                <c:pt idx="209">
                  <c:v>14.7278556963049</c:v>
                </c:pt>
                <c:pt idx="210">
                  <c:v>14.5</c:v>
                </c:pt>
                <c:pt idx="211">
                  <c:v>14.2744288763492</c:v>
                </c:pt>
                <c:pt idx="212">
                  <c:v>14.0512110365019</c:v>
                </c:pt>
                <c:pt idx="213">
                  <c:v>13.8304144747746</c:v>
                </c:pt>
                <c:pt idx="214">
                  <c:v>13.6121064479388</c:v>
                </c:pt>
                <c:pt idx="215">
                  <c:v>13.3963534547343</c:v>
                </c:pt>
                <c:pt idx="216">
                  <c:v>13.1832212156129</c:v>
                </c:pt>
                <c:pt idx="217">
                  <c:v>12.9727746527193</c:v>
                </c:pt>
                <c:pt idx="218">
                  <c:v>12.7650778701151</c:v>
                </c:pt>
                <c:pt idx="219">
                  <c:v>12.5601941342524</c:v>
                </c:pt>
                <c:pt idx="220">
                  <c:v>12.3581858547019</c:v>
                </c:pt>
                <c:pt idx="221">
                  <c:v>12.1591145651424</c:v>
                </c:pt>
                <c:pt idx="222">
                  <c:v>11.9630409046171</c:v>
                </c:pt>
                <c:pt idx="223">
                  <c:v>11.7700245990625</c:v>
                </c:pt>
                <c:pt idx="224">
                  <c:v>11.580124443115</c:v>
                </c:pt>
                <c:pt idx="225">
                  <c:v>11.3933982822018</c:v>
                </c:pt>
                <c:pt idx="226">
                  <c:v>11.2099029949202</c:v>
                </c:pt>
                <c:pt idx="227">
                  <c:v>11.0296944757124</c:v>
                </c:pt>
                <c:pt idx="228">
                  <c:v>10.8528276178391</c:v>
                </c:pt>
                <c:pt idx="229">
                  <c:v>10.6793562966584</c:v>
                </c:pt>
                <c:pt idx="230">
                  <c:v>10.5093333532153</c:v>
                </c:pt>
                <c:pt idx="231">
                  <c:v>10.3428105781454</c:v>
                </c:pt>
                <c:pt idx="232">
                  <c:v>10.1798386958992</c:v>
                </c:pt>
                <c:pt idx="233">
                  <c:v>10.0204673492906</c:v>
                </c:pt>
                <c:pt idx="234">
                  <c:v>9.86474508437579</c:v>
                </c:pt>
                <c:pt idx="235">
                  <c:v>9.71271933566513</c:v>
                </c:pt>
                <c:pt idx="236">
                  <c:v>9.56443641167438</c:v>
                </c:pt>
                <c:pt idx="237">
                  <c:v>9.41994148081864</c:v>
                </c:pt>
                <c:pt idx="238">
                  <c:v>9.27927855765361</c:v>
                </c:pt>
                <c:pt idx="239">
                  <c:v>9.14249048946832</c:v>
                </c:pt>
                <c:pt idx="240">
                  <c:v>9.00961894323342</c:v>
                </c:pt>
                <c:pt idx="241">
                  <c:v>8.88070439290907</c:v>
                </c:pt>
                <c:pt idx="242">
                  <c:v>8.75578610711609</c:v>
                </c:pt>
                <c:pt idx="243">
                  <c:v>8.63490213717448</c:v>
                </c:pt>
                <c:pt idx="244">
                  <c:v>8.5180893055125</c:v>
                </c:pt>
                <c:pt idx="245">
                  <c:v>8.40538319445025</c:v>
                </c:pt>
                <c:pt idx="246">
                  <c:v>8.29681813536098</c:v>
                </c:pt>
                <c:pt idx="247">
                  <c:v>8.1924271982134</c:v>
                </c:pt>
                <c:pt idx="248">
                  <c:v>8.09224218149819</c:v>
                </c:pt>
                <c:pt idx="249">
                  <c:v>7.99629360254198</c:v>
                </c:pt>
                <c:pt idx="250">
                  <c:v>7.90461068821138</c:v>
                </c:pt>
                <c:pt idx="251">
                  <c:v>7.81722136601025</c:v>
                </c:pt>
                <c:pt idx="252">
                  <c:v>7.7341522555727</c:v>
                </c:pt>
                <c:pt idx="253">
                  <c:v>7.65542866055447</c:v>
                </c:pt>
                <c:pt idx="254">
                  <c:v>7.58107456092521</c:v>
                </c:pt>
                <c:pt idx="255">
                  <c:v>7.51111260566397</c:v>
                </c:pt>
                <c:pt idx="256">
                  <c:v>7.44556410586005</c:v>
                </c:pt>
                <c:pt idx="257">
                  <c:v>7.38444902822147</c:v>
                </c:pt>
                <c:pt idx="258">
                  <c:v>7.32778598899292</c:v>
                </c:pt>
                <c:pt idx="259">
                  <c:v>7.27559224828504</c:v>
                </c:pt>
                <c:pt idx="260">
                  <c:v>7.22788370481688</c:v>
                </c:pt>
                <c:pt idx="261">
                  <c:v>7.18467489107294</c:v>
                </c:pt>
                <c:pt idx="262">
                  <c:v>7.14597896887645</c:v>
                </c:pt>
                <c:pt idx="263">
                  <c:v>7.11180772538017</c:v>
                </c:pt>
                <c:pt idx="264">
                  <c:v>7.0821715694759</c:v>
                </c:pt>
                <c:pt idx="265">
                  <c:v>7.05707952862382</c:v>
                </c:pt>
                <c:pt idx="266">
                  <c:v>7.03653924610264</c:v>
                </c:pt>
                <c:pt idx="267">
                  <c:v>7.02055697868139</c:v>
                </c:pt>
                <c:pt idx="268">
                  <c:v>7.00913759471356</c:v>
                </c:pt>
                <c:pt idx="269">
                  <c:v>7.00228457265413</c:v>
                </c:pt>
                <c:pt idx="270">
                  <c:v>7</c:v>
                </c:pt>
                <c:pt idx="271">
                  <c:v>7.00228457265413</c:v>
                </c:pt>
                <c:pt idx="272">
                  <c:v>7.00913759471356</c:v>
                </c:pt>
                <c:pt idx="273">
                  <c:v>7.02055697868139</c:v>
                </c:pt>
                <c:pt idx="274">
                  <c:v>7.03653924610263</c:v>
                </c:pt>
                <c:pt idx="275">
                  <c:v>7.05707952862382</c:v>
                </c:pt>
                <c:pt idx="276">
                  <c:v>7.0821715694759</c:v>
                </c:pt>
                <c:pt idx="277">
                  <c:v>7.11180772538017</c:v>
                </c:pt>
                <c:pt idx="278">
                  <c:v>7.14597896887645</c:v>
                </c:pt>
                <c:pt idx="279">
                  <c:v>7.18467489107293</c:v>
                </c:pt>
                <c:pt idx="280">
                  <c:v>7.22788370481688</c:v>
                </c:pt>
                <c:pt idx="281">
                  <c:v>7.27559224828504</c:v>
                </c:pt>
                <c:pt idx="282">
                  <c:v>7.32778598899292</c:v>
                </c:pt>
                <c:pt idx="283">
                  <c:v>7.38444902822147</c:v>
                </c:pt>
                <c:pt idx="284">
                  <c:v>7.44556410586005</c:v>
                </c:pt>
                <c:pt idx="285">
                  <c:v>7.51111260566397</c:v>
                </c:pt>
                <c:pt idx="286">
                  <c:v>7.58107456092521</c:v>
                </c:pt>
                <c:pt idx="287">
                  <c:v>7.65542866055447</c:v>
                </c:pt>
                <c:pt idx="288">
                  <c:v>7.7341522555727</c:v>
                </c:pt>
                <c:pt idx="289">
                  <c:v>7.81722136601025</c:v>
                </c:pt>
                <c:pt idx="290">
                  <c:v>7.90461068821138</c:v>
                </c:pt>
                <c:pt idx="291">
                  <c:v>7.99629360254197</c:v>
                </c:pt>
                <c:pt idx="292">
                  <c:v>8.09224218149819</c:v>
                </c:pt>
                <c:pt idx="293">
                  <c:v>8.19242719821339</c:v>
                </c:pt>
                <c:pt idx="294">
                  <c:v>8.29681813536098</c:v>
                </c:pt>
                <c:pt idx="295">
                  <c:v>8.40538319445025</c:v>
                </c:pt>
                <c:pt idx="296">
                  <c:v>8.5180893055125</c:v>
                </c:pt>
                <c:pt idx="297">
                  <c:v>8.63490213717448</c:v>
                </c:pt>
                <c:pt idx="298">
                  <c:v>8.75578610711609</c:v>
                </c:pt>
                <c:pt idx="299">
                  <c:v>8.88070439290906</c:v>
                </c:pt>
                <c:pt idx="300">
                  <c:v>9.00961894323342</c:v>
                </c:pt>
                <c:pt idx="301">
                  <c:v>9.14249048946832</c:v>
                </c:pt>
                <c:pt idx="302">
                  <c:v>9.27927855765361</c:v>
                </c:pt>
                <c:pt idx="303">
                  <c:v>9.41994148081864</c:v>
                </c:pt>
                <c:pt idx="304">
                  <c:v>9.56443641167438</c:v>
                </c:pt>
                <c:pt idx="305">
                  <c:v>9.71271933566512</c:v>
                </c:pt>
                <c:pt idx="306">
                  <c:v>9.86474508437579</c:v>
                </c:pt>
                <c:pt idx="307">
                  <c:v>10.0204673492906</c:v>
                </c:pt>
                <c:pt idx="308">
                  <c:v>10.1798386958992</c:v>
                </c:pt>
                <c:pt idx="309">
                  <c:v>10.3428105781454</c:v>
                </c:pt>
                <c:pt idx="310">
                  <c:v>10.5093333532153</c:v>
                </c:pt>
                <c:pt idx="311">
                  <c:v>10.6793562966584</c:v>
                </c:pt>
                <c:pt idx="312">
                  <c:v>10.8528276178391</c:v>
                </c:pt>
                <c:pt idx="313">
                  <c:v>11.0296944757124</c:v>
                </c:pt>
                <c:pt idx="314">
                  <c:v>11.2099029949202</c:v>
                </c:pt>
                <c:pt idx="315">
                  <c:v>11.3933982822018</c:v>
                </c:pt>
                <c:pt idx="316">
                  <c:v>11.580124443115</c:v>
                </c:pt>
                <c:pt idx="317">
                  <c:v>11.7700245990625</c:v>
                </c:pt>
                <c:pt idx="318">
                  <c:v>11.9630409046171</c:v>
                </c:pt>
                <c:pt idx="319">
                  <c:v>12.1591145651424</c:v>
                </c:pt>
                <c:pt idx="320">
                  <c:v>12.3581858547019</c:v>
                </c:pt>
                <c:pt idx="321">
                  <c:v>12.5601941342524</c:v>
                </c:pt>
                <c:pt idx="322">
                  <c:v>12.7650778701151</c:v>
                </c:pt>
                <c:pt idx="323">
                  <c:v>12.9727746527193</c:v>
                </c:pt>
                <c:pt idx="324">
                  <c:v>13.1832212156129</c:v>
                </c:pt>
                <c:pt idx="325">
                  <c:v>13.3963534547343</c:v>
                </c:pt>
                <c:pt idx="326">
                  <c:v>13.6121064479388</c:v>
                </c:pt>
                <c:pt idx="327">
                  <c:v>13.8304144747746</c:v>
                </c:pt>
                <c:pt idx="328">
                  <c:v>14.0512110365019</c:v>
                </c:pt>
                <c:pt idx="329">
                  <c:v>14.2744288763492</c:v>
                </c:pt>
                <c:pt idx="330">
                  <c:v>14.5</c:v>
                </c:pt>
                <c:pt idx="331">
                  <c:v>14.7278556963049</c:v>
                </c:pt>
                <c:pt idx="332">
                  <c:v>14.9579265582116</c:v>
                </c:pt>
                <c:pt idx="333">
                  <c:v>15.1901425039068</c:v>
                </c:pt>
                <c:pt idx="334">
                  <c:v>15.4244327981638</c:v>
                </c:pt>
                <c:pt idx="335">
                  <c:v>15.6607260738895</c:v>
                </c:pt>
                <c:pt idx="336">
                  <c:v>15.898950353863</c:v>
                </c:pt>
                <c:pt idx="337">
                  <c:v>16.1390330726609</c:v>
                </c:pt>
                <c:pt idx="338">
                  <c:v>16.3809010987613</c:v>
                </c:pt>
                <c:pt idx="339">
                  <c:v>16.6244807568205</c:v>
                </c:pt>
                <c:pt idx="340">
                  <c:v>16.869697850115</c:v>
                </c:pt>
                <c:pt idx="341">
                  <c:v>17.1164776831426</c:v>
                </c:pt>
                <c:pt idx="342">
                  <c:v>17.3647450843758</c:v>
                </c:pt>
                <c:pt idx="343">
                  <c:v>17.6144244291589</c:v>
                </c:pt>
                <c:pt idx="344">
                  <c:v>17.865439662745</c:v>
                </c:pt>
                <c:pt idx="345">
                  <c:v>18.1177143234622</c:v>
                </c:pt>
                <c:pt idx="346">
                  <c:v>18.371171566005</c:v>
                </c:pt>
                <c:pt idx="347">
                  <c:v>18.625734184842</c:v>
                </c:pt>
                <c:pt idx="348">
                  <c:v>18.8813246377336</c:v>
                </c:pt>
                <c:pt idx="349">
                  <c:v>19.1378650693518</c:v>
                </c:pt>
                <c:pt idx="350">
                  <c:v>19.395277334996</c:v>
                </c:pt>
                <c:pt idx="351">
                  <c:v>19.6534830243965</c:v>
                </c:pt>
                <c:pt idx="352">
                  <c:v>19.912403485599</c:v>
                </c:pt>
                <c:pt idx="353">
                  <c:v>20.1719598489228</c:v>
                </c:pt>
                <c:pt idx="354">
                  <c:v>20.4320730509852</c:v>
                </c:pt>
                <c:pt idx="355">
                  <c:v>20.6926638587851</c:v>
                </c:pt>
                <c:pt idx="356">
                  <c:v>20.9536528938381</c:v>
                </c:pt>
                <c:pt idx="357">
                  <c:v>21.2149606563558</c:v>
                </c:pt>
                <c:pt idx="358">
                  <c:v>21.4765075494625</c:v>
                </c:pt>
                <c:pt idx="359">
                  <c:v>21.7382139034407</c:v>
                </c:pt>
                <c:pt idx="360">
                  <c:v>22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"转向线"</c:f>
              <c:strCache>
                <c:ptCount val="1"/>
                <c:pt idx="0">
                  <c:v>转向线</c:v>
                </c:pt>
              </c:strCache>
            </c:strRef>
          </c:tx>
          <c:spPr>
            <a:ln w="28575" cap="rnd" cmpd="sng" algn="ctr">
              <a:solidFill>
                <a:schemeClr val="accent2">
                  <a:lumMod val="75000"/>
                </a:schemeClr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试加重示意图!$D$10010:$D$10055</c:f>
              <c:numCache>
                <c:formatCode>General</c:formatCode>
                <c:ptCount val="46"/>
                <c:pt idx="0">
                  <c:v>13.1250165034453</c:v>
                </c:pt>
                <c:pt idx="1">
                  <c:v>13.4585304954082</c:v>
                </c:pt>
                <c:pt idx="2">
                  <c:v>13.7946463017253</c:v>
                </c:pt>
                <c:pt idx="3">
                  <c:v>14.1332615382658</c:v>
                </c:pt>
                <c:pt idx="4">
                  <c:v>14.4742730595487</c:v>
                </c:pt>
                <c:pt idx="5">
                  <c:v>14.817576990161</c:v>
                </c:pt>
                <c:pt idx="6">
                  <c:v>15.1630687563997</c:v>
                </c:pt>
                <c:pt idx="7">
                  <c:v>15.5106431181261</c:v>
                </c:pt>
                <c:pt idx="8">
                  <c:v>15.8601942008225</c:v>
                </c:pt>
                <c:pt idx="9">
                  <c:v>16.211615527843</c:v>
                </c:pt>
                <c:pt idx="10">
                  <c:v>16.5648000528471</c:v>
                </c:pt>
                <c:pt idx="11">
                  <c:v>16.919640192407</c:v>
                </c:pt>
                <c:pt idx="12">
                  <c:v>17.2760278587788</c:v>
                </c:pt>
                <c:pt idx="13">
                  <c:v>17.6338544928271</c:v>
                </c:pt>
                <c:pt idx="14">
                  <c:v>17.9930110970926</c:v>
                </c:pt>
                <c:pt idx="15">
                  <c:v>18.3533882689945</c:v>
                </c:pt>
                <c:pt idx="16">
                  <c:v>18.7148762341551</c:v>
                </c:pt>
                <c:pt idx="17">
                  <c:v>19.0773648798386</c:v>
                </c:pt>
                <c:pt idx="18">
                  <c:v>19.4407437884919</c:v>
                </c:pt>
                <c:pt idx="19">
                  <c:v>19.8049022713793</c:v>
                </c:pt>
                <c:pt idx="20">
                  <c:v>20.1697294022992</c:v>
                </c:pt>
                <c:pt idx="21">
                  <c:v>20.5351140513734</c:v>
                </c:pt>
                <c:pt idx="22">
                  <c:v>20.9009449188982</c:v>
                </c:pt>
                <c:pt idx="23">
                  <c:v>21.2671105692475</c:v>
                </c:pt>
                <c:pt idx="24">
                  <c:v>21.633499464817</c:v>
                </c:pt>
                <c:pt idx="25">
                  <c:v>22</c:v>
                </c:pt>
                <c:pt idx="26">
                  <c:v>22.366500535183</c:v>
                </c:pt>
                <c:pt idx="27">
                  <c:v>22.7328894307525</c:v>
                </c:pt>
                <c:pt idx="28">
                  <c:v>23.0990550811018</c:v>
                </c:pt>
                <c:pt idx="29">
                  <c:v>23.4648859486266</c:v>
                </c:pt>
                <c:pt idx="30">
                  <c:v>23.8302705977008</c:v>
                </c:pt>
                <c:pt idx="31">
                  <c:v>24.1950977286207</c:v>
                </c:pt>
                <c:pt idx="32">
                  <c:v>24.5592562115081</c:v>
                </c:pt>
                <c:pt idx="33">
                  <c:v>24.9226351201614</c:v>
                </c:pt>
                <c:pt idx="34">
                  <c:v>25.2851237658449</c:v>
                </c:pt>
                <c:pt idx="35">
                  <c:v>25.6466117310055</c:v>
                </c:pt>
                <c:pt idx="36">
                  <c:v>26.0069889029074</c:v>
                </c:pt>
                <c:pt idx="37">
                  <c:v>26.3661455071729</c:v>
                </c:pt>
                <c:pt idx="38">
                  <c:v>26.7239721412212</c:v>
                </c:pt>
                <c:pt idx="39">
                  <c:v>27.080359807593</c:v>
                </c:pt>
                <c:pt idx="40">
                  <c:v>27.4351999471529</c:v>
                </c:pt>
                <c:pt idx="41">
                  <c:v>27.788384472157</c:v>
                </c:pt>
                <c:pt idx="42">
                  <c:v>28.1398057991775</c:v>
                </c:pt>
                <c:pt idx="43">
                  <c:v>28.4893568818739</c:v>
                </c:pt>
                <c:pt idx="44">
                  <c:v>28.8369312436003</c:v>
                </c:pt>
                <c:pt idx="45">
                  <c:v>29.182423009839</c:v>
                </c:pt>
              </c:numCache>
            </c:numRef>
          </c:xVal>
          <c:yVal>
            <c:numRef>
              <c:f>试加重示意图!$E$10010:$E$10055</c:f>
              <c:numCache>
                <c:formatCode>General</c:formatCode>
                <c:ptCount val="46"/>
                <c:pt idx="0">
                  <c:v>41.0324635277697</c:v>
                </c:pt>
                <c:pt idx="1">
                  <c:v>41.1844546104946</c:v>
                </c:pt>
                <c:pt idx="2">
                  <c:v>41.3306019225012</c:v>
                </c:pt>
                <c:pt idx="3">
                  <c:v>41.4708609459025</c:v>
                </c:pt>
                <c:pt idx="4">
                  <c:v>41.6051889564412</c:v>
                </c:pt>
                <c:pt idx="5">
                  <c:v>41.7335450365041</c:v>
                </c:pt>
                <c:pt idx="6">
                  <c:v>41.8558900875856</c:v>
                </c:pt>
                <c:pt idx="7">
                  <c:v>41.9721868421982</c:v>
                </c:pt>
                <c:pt idx="8">
                  <c:v>42.0823998752237</c:v>
                </c:pt>
                <c:pt idx="9">
                  <c:v>42.1864956147047</c:v>
                </c:pt>
                <c:pt idx="10">
                  <c:v>42.2844423520704</c:v>
                </c:pt>
                <c:pt idx="11">
                  <c:v>42.3762102517959</c:v>
                </c:pt>
                <c:pt idx="12">
                  <c:v>42.4617713604899</c:v>
                </c:pt>
                <c:pt idx="13">
                  <c:v>42.5410996154099</c:v>
                </c:pt>
                <c:pt idx="14">
                  <c:v>42.6141708524009</c:v>
                </c:pt>
                <c:pt idx="15">
                  <c:v>42.6809628132564</c:v>
                </c:pt>
                <c:pt idx="16">
                  <c:v>42.7414551524979</c:v>
                </c:pt>
                <c:pt idx="17">
                  <c:v>42.795629443573</c:v>
                </c:pt>
                <c:pt idx="18">
                  <c:v>42.8434691844678</c:v>
                </c:pt>
                <c:pt idx="19">
                  <c:v>42.8849598027337</c:v>
                </c:pt>
                <c:pt idx="20">
                  <c:v>42.9200886599267</c:v>
                </c:pt>
                <c:pt idx="21">
                  <c:v>42.9488450554563</c:v>
                </c:pt>
                <c:pt idx="22">
                  <c:v>42.9712202298461</c:v>
                </c:pt>
                <c:pt idx="23">
                  <c:v>42.987207367401</c:v>
                </c:pt>
                <c:pt idx="24">
                  <c:v>42.9968015982842</c:v>
                </c:pt>
                <c:pt idx="25">
                  <c:v>43</c:v>
                </c:pt>
                <c:pt idx="26">
                  <c:v>42.9968015982842</c:v>
                </c:pt>
                <c:pt idx="27">
                  <c:v>42.987207367401</c:v>
                </c:pt>
                <c:pt idx="28">
                  <c:v>42.9712202298461</c:v>
                </c:pt>
                <c:pt idx="29">
                  <c:v>42.9488450554563</c:v>
                </c:pt>
                <c:pt idx="30">
                  <c:v>42.9200886599267</c:v>
                </c:pt>
                <c:pt idx="31">
                  <c:v>42.8849598027337</c:v>
                </c:pt>
                <c:pt idx="32">
                  <c:v>42.8434691844678</c:v>
                </c:pt>
                <c:pt idx="33">
                  <c:v>42.795629443573</c:v>
                </c:pt>
                <c:pt idx="34">
                  <c:v>42.7414551524979</c:v>
                </c:pt>
                <c:pt idx="35">
                  <c:v>42.6809628132564</c:v>
                </c:pt>
                <c:pt idx="36">
                  <c:v>42.6141708524009</c:v>
                </c:pt>
                <c:pt idx="37">
                  <c:v>42.5410996154099</c:v>
                </c:pt>
                <c:pt idx="38">
                  <c:v>42.4617713604899</c:v>
                </c:pt>
                <c:pt idx="39">
                  <c:v>42.3762102517959</c:v>
                </c:pt>
                <c:pt idx="40">
                  <c:v>42.2844423520704</c:v>
                </c:pt>
                <c:pt idx="41">
                  <c:v>42.1864956147047</c:v>
                </c:pt>
                <c:pt idx="42">
                  <c:v>42.0823998752237</c:v>
                </c:pt>
                <c:pt idx="43">
                  <c:v>41.9721868421982</c:v>
                </c:pt>
                <c:pt idx="44">
                  <c:v>41.8558900875856</c:v>
                </c:pt>
                <c:pt idx="45">
                  <c:v>41.7335450365041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试加重示意图!$R$10014</c:f>
              <c:strCache>
                <c:ptCount val="1"/>
                <c:pt idx="0">
                  <c:v>600rpm</c:v>
                </c:pt>
              </c:strCache>
            </c:strRef>
          </c:tx>
          <c:spPr>
            <a:ln w="28575" cap="rnd" cmpd="sng" algn="ctr">
              <a:solidFill>
                <a:schemeClr val="accent2">
                  <a:lumMod val="75000"/>
                </a:schemeClr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1"/>
              <c:delete val="1"/>
            </c:dLbl>
            <c:dLbl>
              <c:idx val="2"/>
              <c:delete val="1"/>
            </c:dLbl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/>
              </c:ext>
            </c:extLst>
          </c:dLbls>
          <c:xVal>
            <c:numRef>
              <c:f>试加重示意图!$D$10057:$D$10059</c:f>
              <c:numCache>
                <c:formatCode>General</c:formatCode>
                <c:ptCount val="3"/>
                <c:pt idx="0">
                  <c:v>28.608846573488</c:v>
                </c:pt>
                <c:pt idx="1">
                  <c:v>29.182423009839</c:v>
                </c:pt>
                <c:pt idx="2">
                  <c:v>28.2761152228024</c:v>
                </c:pt>
              </c:numCache>
            </c:numRef>
          </c:xVal>
          <c:yVal>
            <c:numRef>
              <c:f>试加重示意图!$E$10057:$E$10059</c:f>
              <c:numCache>
                <c:formatCode>General</c:formatCode>
                <c:ptCount val="3"/>
                <c:pt idx="0">
                  <c:v>42.5526970807931</c:v>
                </c:pt>
                <c:pt idx="1">
                  <c:v>41.7335450365041</c:v>
                </c:pt>
                <c:pt idx="2">
                  <c:v>41.3109267747634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"圆心"</c:f>
              <c:strCache>
                <c:ptCount val="1"/>
                <c:pt idx="0">
                  <c:v>圆心</c:v>
                </c:pt>
              </c:strCache>
            </c:strRef>
          </c:tx>
          <c:marker>
            <c:symbol val="circle"/>
            <c:size val="5"/>
            <c:spPr>
              <a:solidFill>
                <a:srgbClr val="FF0000"/>
              </a:solidFill>
            </c:spPr>
          </c:marker>
          <c:dLbls>
            <c:delete val="1"/>
          </c:dLbls>
          <c:xVal>
            <c:numRef>
              <c:f>试加重示意图!$D$10061</c:f>
              <c:numCache>
                <c:formatCode>General</c:formatCode>
                <c:ptCount val="1"/>
                <c:pt idx="0">
                  <c:v>22</c:v>
                </c:pt>
              </c:numCache>
            </c:numRef>
          </c:xVal>
          <c:yVal>
            <c:numRef>
              <c:f>试加重示意图!$E$10061</c:f>
              <c:numCache>
                <c:formatCode>General</c:formatCode>
                <c:ptCount val="1"/>
                <c:pt idx="0">
                  <c:v>22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"键相"</c:f>
              <c:strCache>
                <c:ptCount val="1"/>
                <c:pt idx="0">
                  <c:v>键相</c:v>
                </c:pt>
              </c:strCache>
            </c:strRef>
          </c:tx>
          <c:spPr>
            <a:ln w="28575" cap="rnd" cmpd="sng" algn="ctr">
              <a:solidFill>
                <a:schemeClr val="tx2">
                  <a:lumMod val="40000"/>
                  <a:lumOff val="60000"/>
                </a:schemeClr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0"/>
              <c:delete val="1"/>
            </c:dLbl>
            <c:dLbl>
              <c:idx val="1"/>
              <c:layout/>
              <c:numFmt formatCode="General" sourceLinked="1"/>
              <c:spPr>
                <a:noFill/>
                <a:ln>
                  <a:noFill/>
                </a:ln>
                <a:effectLst/>
              </c:spPr>
              <c:txPr>
                <a:bodyPr rot="0" spcFirstLastPara="0" vertOverflow="ellipsis" vert="horz" wrap="square" lIns="38100" tIns="19050" rIns="38100" bIns="19050" anchor="b" anchorCtr="1"/>
                <a:lstStyle/>
                <a:p>
                  <a:pPr>
                    <a:defRPr lang="zh-CN" sz="12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/>
              </c:ext>
            </c:extLst>
          </c:dLbls>
          <c:xVal>
            <c:numRef>
              <c:f>试加重示意图!$D$10066:$D$10067</c:f>
              <c:numCache>
                <c:formatCode>General</c:formatCode>
                <c:ptCount val="2"/>
                <c:pt idx="0">
                  <c:v>41.5</c:v>
                </c:pt>
                <c:pt idx="1">
                  <c:v>43.5</c:v>
                </c:pt>
              </c:numCache>
            </c:numRef>
          </c:xVal>
          <c:yVal>
            <c:numRef>
              <c:f>试加重示意图!$E$10066:$E$10067</c:f>
              <c:numCache>
                <c:formatCode>General</c:formatCode>
                <c:ptCount val="2"/>
                <c:pt idx="0">
                  <c:v>22</c:v>
                </c:pt>
                <c:pt idx="1">
                  <c:v>22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"键相宽"</c:f>
              <c:strCache>
                <c:ptCount val="1"/>
                <c:pt idx="0">
                  <c:v>键相宽</c:v>
                </c:pt>
              </c:strCache>
            </c:strRef>
          </c:tx>
          <c:spPr>
            <a:ln w="28575" cap="rnd" cmpd="sng" algn="ctr">
              <a:solidFill>
                <a:schemeClr val="tx2">
                  <a:lumMod val="40000"/>
                  <a:lumOff val="60000"/>
                </a:schemeClr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试加重示意图!$D$10068:$D$10070</c:f>
              <c:numCache>
                <c:formatCode>General</c:formatCode>
                <c:ptCount val="3"/>
                <c:pt idx="0">
                  <c:v>41.5</c:v>
                </c:pt>
                <c:pt idx="1">
                  <c:v>41.5</c:v>
                </c:pt>
                <c:pt idx="2">
                  <c:v>41.5</c:v>
                </c:pt>
              </c:numCache>
            </c:numRef>
          </c:xVal>
          <c:yVal>
            <c:numRef>
              <c:f>试加重示意图!$E$10068:$E$10070</c:f>
              <c:numCache>
                <c:formatCode>General</c:formatCode>
                <c:ptCount val="3"/>
                <c:pt idx="0">
                  <c:v>21</c:v>
                </c:pt>
                <c:pt idx="1">
                  <c:v>22</c:v>
                </c:pt>
                <c:pt idx="2">
                  <c:v>23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试加重示意图!$L$10015</c:f>
              <c:strCache>
                <c:ptCount val="1"/>
                <c:pt idx="0">
                  <c:v>X向</c:v>
                </c:pt>
              </c:strCache>
            </c:strRef>
          </c:tx>
          <c:spPr>
            <a:ln w="28575" cap="rnd" cmpd="sng" algn="ctr">
              <a:solidFill>
                <a:schemeClr val="accent4">
                  <a:lumMod val="60000"/>
                  <a:lumOff val="40000"/>
                </a:schemeClr>
              </a:solidFill>
              <a:prstDash val="solid"/>
              <a:round/>
            </a:ln>
          </c:spPr>
          <c:marker>
            <c:symbol val="none"/>
          </c:marker>
          <c:dLbls>
            <c:dLbl>
              <c:idx val="1"/>
              <c:delete val="1"/>
            </c:dLbl>
            <c:spPr>
              <a:noFill/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prst="relaxedInset"/>
              </a:sp3d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/>
              </c:ext>
            </c:extLst>
          </c:dLbls>
          <c:xVal>
            <c:numRef>
              <c:f>试加重示意图!$D$10075:$D$10076</c:f>
              <c:numCache>
                <c:formatCode>General</c:formatCode>
                <c:ptCount val="2"/>
                <c:pt idx="0">
                  <c:v>18.6138605354949</c:v>
                </c:pt>
                <c:pt idx="1">
                  <c:v>18.266564180161</c:v>
                </c:pt>
              </c:numCache>
            </c:numRef>
          </c:xVal>
          <c:yVal>
            <c:numRef>
              <c:f>试加重示意图!$E$10075:$E$10076</c:f>
              <c:numCache>
                <c:formatCode>General</c:formatCode>
                <c:ptCount val="2"/>
                <c:pt idx="0">
                  <c:v>41.2037511837381</c:v>
                </c:pt>
                <c:pt idx="1">
                  <c:v>43.1733666897625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"X向宽"</c:f>
              <c:strCache>
                <c:ptCount val="1"/>
                <c:pt idx="0">
                  <c:v>X向宽</c:v>
                </c:pt>
              </c:strCache>
            </c:strRef>
          </c:tx>
          <c:spPr>
            <a:ln w="28575" cap="rnd" cmpd="sng" algn="ctr">
              <a:solidFill>
                <a:schemeClr val="accent4">
                  <a:lumMod val="60000"/>
                  <a:lumOff val="40000"/>
                </a:schemeClr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试加重示意图!$D$10077:$D$10079</c:f>
              <c:numCache>
                <c:formatCode>General</c:formatCode>
                <c:ptCount val="3"/>
                <c:pt idx="0">
                  <c:v>19.5986682885071</c:v>
                </c:pt>
                <c:pt idx="1">
                  <c:v>18.6138605354949</c:v>
                </c:pt>
                <c:pt idx="2">
                  <c:v>17.6290527824826</c:v>
                </c:pt>
              </c:numCache>
            </c:numRef>
          </c:xVal>
          <c:yVal>
            <c:numRef>
              <c:f>试加重示意图!$E$10077:$E$10079</c:f>
              <c:numCache>
                <c:formatCode>General</c:formatCode>
                <c:ptCount val="3"/>
                <c:pt idx="0">
                  <c:v>41.377399361405</c:v>
                </c:pt>
                <c:pt idx="1">
                  <c:v>41.2037511837381</c:v>
                </c:pt>
                <c:pt idx="2">
                  <c:v>41.0301030060711</c:v>
                </c:pt>
              </c:numCache>
            </c:numRef>
          </c:yVal>
          <c:smooth val="1"/>
        </c:ser>
        <c:ser>
          <c:idx val="8"/>
          <c:order val="8"/>
          <c:tx>
            <c:strRef>
              <c:f>试加重示意图!$L$10020</c:f>
              <c:strCache>
                <c:ptCount val="1"/>
                <c:pt idx="0">
                  <c:v/>
                </c:pt>
              </c:strCache>
            </c:strRef>
          </c:tx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 cmpd="sng" algn="ctr">
                <a:solidFill>
                  <a:schemeClr val="bg2">
                    <a:lumMod val="50000"/>
                  </a:schemeClr>
                </a:solidFill>
                <a:prstDash val="solid"/>
                <a:round/>
              </a:ln>
            </c:spPr>
          </c:dPt>
          <c:dLbls>
            <c:dLbl>
              <c:idx val="0"/>
              <c:delete val="1"/>
            </c:dLbl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/>
              </c:ext>
            </c:extLst>
          </c:dLbls>
          <c:xVal>
            <c:numRef>
              <c:f>试加重示意图!$D$10084:$D$10085</c:f>
              <c:numCache>
                <c:formatCode>General</c:formatCode>
                <c:ptCount val="2"/>
                <c:pt idx="0">
                  <c:v>18.6138605354949</c:v>
                </c:pt>
                <c:pt idx="1">
                  <c:v>18.266564180161</c:v>
                </c:pt>
              </c:numCache>
            </c:numRef>
          </c:xVal>
          <c:yVal>
            <c:numRef>
              <c:f>试加重示意图!$E$10084:$E$10085</c:f>
              <c:numCache>
                <c:formatCode>General</c:formatCode>
                <c:ptCount val="2"/>
                <c:pt idx="0">
                  <c:v>41.2037511837381</c:v>
                </c:pt>
                <c:pt idx="1">
                  <c:v>43.1733666897625</c:v>
                </c:pt>
              </c:numCache>
            </c:numRef>
          </c:yVal>
          <c:smooth val="1"/>
        </c:ser>
        <c:ser>
          <c:idx val="9"/>
          <c:order val="9"/>
          <c:tx>
            <c:strRef>
              <c:f>"Y向宽"</c:f>
              <c:strCache>
                <c:ptCount val="1"/>
                <c:pt idx="0">
                  <c:v>Y向宽</c:v>
                </c:pt>
              </c:strCache>
            </c:strRef>
          </c:tx>
          <c:spPr>
            <a:ln w="28575" cap="rnd" cmpd="sng" algn="ctr">
              <a:solidFill>
                <a:schemeClr val="bg2">
                  <a:lumMod val="50000"/>
                </a:schemeClr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试加重示意图!$D$10086:$D$10088</c:f>
              <c:numCache>
                <c:formatCode>General</c:formatCode>
                <c:ptCount val="3"/>
                <c:pt idx="0">
                  <c:v>19.5986682885071</c:v>
                </c:pt>
                <c:pt idx="1">
                  <c:v>18.6138605354949</c:v>
                </c:pt>
                <c:pt idx="2">
                  <c:v>17.6290527824826</c:v>
                </c:pt>
              </c:numCache>
            </c:numRef>
          </c:xVal>
          <c:yVal>
            <c:numRef>
              <c:f>试加重示意图!$E$10086:$E$10088</c:f>
              <c:numCache>
                <c:formatCode>General</c:formatCode>
                <c:ptCount val="3"/>
                <c:pt idx="0">
                  <c:v>41.377399361405</c:v>
                </c:pt>
                <c:pt idx="1">
                  <c:v>41.2037511837381</c:v>
                </c:pt>
                <c:pt idx="2">
                  <c:v>41.0301030060711</c:v>
                </c:pt>
              </c:numCache>
            </c:numRef>
          </c:yVal>
          <c:smooth val="1"/>
        </c:ser>
        <c:ser>
          <c:idx val="10"/>
          <c:order val="10"/>
          <c:tx>
            <c:strRef>
              <c:f>"Ax矢量"</c:f>
              <c:strCache>
                <c:ptCount val="1"/>
                <c:pt idx="0">
                  <c:v>Ax矢量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试加重示意图!$D$10093:$D$10094</c:f>
              <c:numCache>
                <c:formatCode>General</c:formatCode>
                <c:ptCount val="2"/>
                <c:pt idx="0">
                  <c:v>22</c:v>
                </c:pt>
                <c:pt idx="1">
                  <c:v>7.51111260566398</c:v>
                </c:pt>
              </c:numCache>
            </c:numRef>
          </c:xVal>
          <c:yVal>
            <c:numRef>
              <c:f>试加重示意图!$E$10093:$E$10094</c:f>
              <c:numCache>
                <c:formatCode>General</c:formatCode>
                <c:ptCount val="2"/>
                <c:pt idx="0">
                  <c:v>22</c:v>
                </c:pt>
                <c:pt idx="1">
                  <c:v>25.8822856765378</c:v>
                </c:pt>
              </c:numCache>
            </c:numRef>
          </c:yVal>
          <c:smooth val="1"/>
        </c:ser>
        <c:ser>
          <c:idx val="11"/>
          <c:order val="11"/>
          <c:tx>
            <c:strRef>
              <c:f>"Ax矢量箭头"</c:f>
              <c:strCache>
                <c:ptCount val="1"/>
                <c:pt idx="0">
                  <c:v>Ax矢量箭头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试加重示意图!$D$10095:$D$10097</c:f>
              <c:numCache>
                <c:formatCode>General</c:formatCode>
                <c:ptCount val="3"/>
                <c:pt idx="0">
                  <c:v>8.01111260566398</c:v>
                </c:pt>
                <c:pt idx="1">
                  <c:v>7.51111260566398</c:v>
                </c:pt>
                <c:pt idx="2">
                  <c:v>8.37713800944842</c:v>
                </c:pt>
              </c:numCache>
            </c:numRef>
          </c:xVal>
          <c:yVal>
            <c:numRef>
              <c:f>试加重示意图!$E$10095:$E$10097</c:f>
              <c:numCache>
                <c:formatCode>General</c:formatCode>
                <c:ptCount val="3"/>
                <c:pt idx="0">
                  <c:v>25.0162602727534</c:v>
                </c:pt>
                <c:pt idx="1">
                  <c:v>25.8822856765378</c:v>
                </c:pt>
                <c:pt idx="2">
                  <c:v>26.3822856765378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"Px矢量"</c:f>
              <c:strCache>
                <c:ptCount val="1"/>
                <c:pt idx="0">
                  <c:v>Px矢量</c:v>
                </c:pt>
              </c:strCache>
            </c:strRef>
          </c:tx>
          <c:spPr>
            <a:ln w="28575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试加重示意图!$D$10099:$D$10100</c:f>
              <c:numCache>
                <c:formatCode>General</c:formatCode>
                <c:ptCount val="2"/>
                <c:pt idx="0">
                  <c:v>22</c:v>
                </c:pt>
                <c:pt idx="1">
                  <c:v>9.00961894323342</c:v>
                </c:pt>
              </c:numCache>
            </c:numRef>
          </c:xVal>
          <c:yVal>
            <c:numRef>
              <c:f>试加重示意图!$E$10099:$E$10100</c:f>
              <c:numCache>
                <c:formatCode>General</c:formatCode>
                <c:ptCount val="2"/>
                <c:pt idx="0">
                  <c:v>22</c:v>
                </c:pt>
                <c:pt idx="1">
                  <c:v>29.5</c:v>
                </c:pt>
              </c:numCache>
            </c:numRef>
          </c:yVal>
          <c:smooth val="1"/>
        </c:ser>
        <c:ser>
          <c:idx val="13"/>
          <c:order val="13"/>
          <c:tx>
            <c:strRef>
              <c:f>"Px矢量箭头"</c:f>
              <c:strCache>
                <c:ptCount val="1"/>
                <c:pt idx="0">
                  <c:v>Px矢量箭头</c:v>
                </c:pt>
              </c:strCache>
            </c:strRef>
          </c:tx>
          <c:spPr>
            <a:ln w="28575" cap="rnd" cmpd="sng" algn="ctr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试加重示意图!$D$10101:$D$10103</c:f>
              <c:numCache>
                <c:formatCode>General</c:formatCode>
                <c:ptCount val="3"/>
                <c:pt idx="0">
                  <c:v>9.26843798833594</c:v>
                </c:pt>
                <c:pt idx="1">
                  <c:v>9.00961894323342</c:v>
                </c:pt>
                <c:pt idx="2">
                  <c:v>9.97554476952249</c:v>
                </c:pt>
              </c:numCache>
            </c:numRef>
          </c:xVal>
          <c:yVal>
            <c:numRef>
              <c:f>试加重示意图!$E$10101:$E$10103</c:f>
              <c:numCache>
                <c:formatCode>General</c:formatCode>
                <c:ptCount val="3"/>
                <c:pt idx="0">
                  <c:v>28.5340741737109</c:v>
                </c:pt>
                <c:pt idx="1">
                  <c:v>29.5</c:v>
                </c:pt>
                <c:pt idx="2">
                  <c:v>29.7588190451025</c:v>
                </c:pt>
              </c:numCache>
            </c:numRef>
          </c:yVal>
          <c:smooth val="0"/>
        </c:ser>
        <c:ser>
          <c:idx val="14"/>
          <c:order val="14"/>
          <c:tx>
            <c:strRef>
              <c:f>"基线"</c:f>
              <c:strCache>
                <c:ptCount val="1"/>
                <c:pt idx="0">
                  <c:v>基线</c:v>
                </c:pt>
              </c:strCache>
            </c:strRef>
          </c:tx>
          <c:spPr>
            <a:ln w="6350" cap="rnd" cmpd="sng" algn="ctr">
              <a:solidFill>
                <a:schemeClr val="accent3">
                  <a:shade val="90000"/>
                  <a:shade val="95000"/>
                  <a:satMod val="105000"/>
                </a:schemeClr>
              </a:solidFill>
              <a:prstDash val="sysDash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试加重示意图!$D$10090:$D$10091</c:f>
              <c:numCache>
                <c:formatCode>General</c:formatCode>
                <c:ptCount val="2"/>
                <c:pt idx="0">
                  <c:v>22</c:v>
                </c:pt>
                <c:pt idx="1">
                  <c:v>37</c:v>
                </c:pt>
              </c:numCache>
            </c:numRef>
          </c:xVal>
          <c:yVal>
            <c:numRef>
              <c:f>试加重示意图!$E$10090:$E$10091</c:f>
              <c:numCache>
                <c:formatCode>General</c:formatCode>
                <c:ptCount val="2"/>
                <c:pt idx="0">
                  <c:v>22</c:v>
                </c:pt>
                <c:pt idx="1">
                  <c:v>22</c:v>
                </c:pt>
              </c:numCache>
            </c:numRef>
          </c:yVal>
          <c:smooth val="1"/>
        </c:ser>
        <c:ser>
          <c:idx val="15"/>
          <c:order val="15"/>
          <c:tx>
            <c:strRef>
              <c:f>试加重示意图!$L$10017</c:f>
              <c:strCache>
                <c:ptCount val="1"/>
                <c:pt idx="0">
                  <c:v>Ax</c:v>
                </c:pt>
              </c:strCache>
            </c:strRef>
          </c:tx>
          <c:spPr>
            <a:ln w="28575" cap="rnd" cmpd="sng" algn="ctr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/>
              </c:ext>
            </c:extLst>
          </c:dLbls>
          <c:xVal>
            <c:numRef>
              <c:f>试加重示意图!$D$10098</c:f>
              <c:numCache>
                <c:formatCode>General</c:formatCode>
                <c:ptCount val="1"/>
                <c:pt idx="0">
                  <c:v>5.33777949651357</c:v>
                </c:pt>
              </c:numCache>
            </c:numRef>
          </c:xVal>
          <c:yVal>
            <c:numRef>
              <c:f>试加重示意图!$E$10098</c:f>
              <c:numCache>
                <c:formatCode>General</c:formatCode>
                <c:ptCount val="1"/>
                <c:pt idx="0">
                  <c:v>26.4646285280185</c:v>
                </c:pt>
              </c:numCache>
            </c:numRef>
          </c:yVal>
          <c:smooth val="1"/>
        </c:ser>
        <c:ser>
          <c:idx val="16"/>
          <c:order val="16"/>
          <c:tx>
            <c:strRef>
              <c:f>试加重示意图!$L$10016</c:f>
              <c:strCache>
                <c:ptCount val="1"/>
                <c:pt idx="0">
                  <c:v>Px</c:v>
                </c:pt>
              </c:strCache>
            </c:strRef>
          </c:tx>
          <c:marker>
            <c:symbol val="none"/>
          </c:marker>
          <c:dLbls>
            <c:numFmt formatCode="#,##0_);\(#,##0\)" sourceLinked="0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/>
              </c:ext>
            </c:extLst>
          </c:dLbls>
          <c:xVal>
            <c:numRef>
              <c:f>试加重示意图!$D$10104</c:f>
              <c:numCache>
                <c:formatCode>General</c:formatCode>
                <c:ptCount val="1"/>
                <c:pt idx="0">
                  <c:v>7.06106178471843</c:v>
                </c:pt>
              </c:numCache>
            </c:numRef>
          </c:xVal>
          <c:yVal>
            <c:numRef>
              <c:f>试加重示意图!$E$10104</c:f>
              <c:numCache>
                <c:formatCode>General</c:formatCode>
                <c:ptCount val="1"/>
                <c:pt idx="0">
                  <c:v>30.625</c:v>
                </c:pt>
              </c:numCache>
            </c:numRef>
          </c:yVal>
          <c:smooth val="1"/>
        </c:ser>
        <c:ser>
          <c:idx val="17"/>
          <c:order val="17"/>
          <c:tx>
            <c:strRef>
              <c:f>"Px夹角"</c:f>
              <c:strCache>
                <c:ptCount val="1"/>
                <c:pt idx="0">
                  <c:v>Px夹角</c:v>
                </c:pt>
              </c:strCache>
            </c:strRef>
          </c:tx>
          <c:spPr>
            <a:ln w="19050" cap="rnd" cmpd="sng" algn="ctr">
              <a:solidFill>
                <a:schemeClr val="accent6">
                  <a:shade val="90000"/>
                  <a:shade val="95000"/>
                  <a:satMod val="105000"/>
                </a:schemeClr>
              </a:solidFill>
              <a:prstDash val="sysDash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试加重示意图!$G$10004:$G$10204</c:f>
              <c:numCache>
                <c:formatCode>General</c:formatCode>
                <c:ptCount val="201"/>
                <c:pt idx="0">
                  <c:v>24.25</c:v>
                </c:pt>
                <c:pt idx="1">
                  <c:v>24.2498072370415</c:v>
                </c:pt>
                <c:pt idx="2">
                  <c:v>24.249228981195</c:v>
                </c:pt>
                <c:pt idx="3">
                  <c:v>24.2482653315416</c:v>
                </c:pt>
                <c:pt idx="4">
                  <c:v>24.2469164531978</c:v>
                </c:pt>
                <c:pt idx="5">
                  <c:v>24.2451825772869</c:v>
                </c:pt>
                <c:pt idx="6">
                  <c:v>24.2430640008995</c:v>
                </c:pt>
                <c:pt idx="7">
                  <c:v>24.240561087043</c:v>
                </c:pt>
                <c:pt idx="8">
                  <c:v>24.2376742645786</c:v>
                </c:pt>
                <c:pt idx="9">
                  <c:v>24.2344040281486</c:v>
                </c:pt>
                <c:pt idx="10">
                  <c:v>24.2307509380911</c:v>
                </c:pt>
                <c:pt idx="11">
                  <c:v>24.2267156203443</c:v>
                </c:pt>
                <c:pt idx="12">
                  <c:v>24.2222987663391</c:v>
                </c:pt>
                <c:pt idx="13">
                  <c:v>24.2175011328807</c:v>
                </c:pt>
                <c:pt idx="14">
                  <c:v>24.2123235420189</c:v>
                </c:pt>
                <c:pt idx="15">
                  <c:v>24.2067668809073</c:v>
                </c:pt>
                <c:pt idx="16">
                  <c:v>24.2008321016511</c:v>
                </c:pt>
                <c:pt idx="17">
                  <c:v>24.1945202211442</c:v>
                </c:pt>
                <c:pt idx="18">
                  <c:v>24.1878323208948</c:v>
                </c:pt>
                <c:pt idx="19">
                  <c:v>24.1807695468402</c:v>
                </c:pt>
                <c:pt idx="20">
                  <c:v>24.1733331091504</c:v>
                </c:pt>
                <c:pt idx="21">
                  <c:v>24.1655242820207</c:v>
                </c:pt>
                <c:pt idx="22">
                  <c:v>24.1573444034534</c:v>
                </c:pt>
                <c:pt idx="23">
                  <c:v>24.1487948750287</c:v>
                </c:pt>
                <c:pt idx="24">
                  <c:v>24.1398771616641</c:v>
                </c:pt>
                <c:pt idx="25">
                  <c:v>24.130592791364</c:v>
                </c:pt>
                <c:pt idx="26">
                  <c:v>24.1209433549574</c:v>
                </c:pt>
                <c:pt idx="27">
                  <c:v>24.1109305058256</c:v>
                </c:pt>
                <c:pt idx="28">
                  <c:v>24.1005559596187</c:v>
                </c:pt>
                <c:pt idx="29">
                  <c:v>24.0898214939618</c:v>
                </c:pt>
                <c:pt idx="30">
                  <c:v>24.0787289481504</c:v>
                </c:pt>
                <c:pt idx="31">
                  <c:v>24.067280222835</c:v>
                </c:pt>
                <c:pt idx="32">
                  <c:v>24.0554772796959</c:v>
                </c:pt>
                <c:pt idx="33">
                  <c:v>24.0433221411064</c:v>
                </c:pt>
                <c:pt idx="34">
                  <c:v>24.0308168897872</c:v>
                </c:pt>
                <c:pt idx="35">
                  <c:v>24.0179636684485</c:v>
                </c:pt>
                <c:pt idx="36">
                  <c:v>24.0047646794238</c:v>
                </c:pt>
                <c:pt idx="37">
                  <c:v>23.9912221842918</c:v>
                </c:pt>
                <c:pt idx="38">
                  <c:v>23.9773385034894</c:v>
                </c:pt>
                <c:pt idx="39">
                  <c:v>23.9631160159138</c:v>
                </c:pt>
                <c:pt idx="40">
                  <c:v>23.948557158515</c:v>
                </c:pt>
                <c:pt idx="41">
                  <c:v>23.9336644258783</c:v>
                </c:pt>
                <c:pt idx="42">
                  <c:v>23.9184403697967</c:v>
                </c:pt>
                <c:pt idx="43">
                  <c:v>23.9028875988339</c:v>
                </c:pt>
                <c:pt idx="44">
                  <c:v>23.8870087778772</c:v>
                </c:pt>
                <c:pt idx="45">
                  <c:v>23.8708066276807</c:v>
                </c:pt>
                <c:pt idx="46">
                  <c:v>23.8542839243995</c:v>
                </c:pt>
                <c:pt idx="47">
                  <c:v>23.8374434991138</c:v>
                </c:pt>
                <c:pt idx="48">
                  <c:v>23.8202882373436</c:v>
                </c:pt>
                <c:pt idx="49">
                  <c:v>23.8028210785549</c:v>
                </c:pt>
                <c:pt idx="50">
                  <c:v>23.7850450156553</c:v>
                </c:pt>
                <c:pt idx="51">
                  <c:v>23.7669630944817</c:v>
                </c:pt>
                <c:pt idx="52">
                  <c:v>23.7485784132782</c:v>
                </c:pt>
                <c:pt idx="53">
                  <c:v>23.7298941221653</c:v>
                </c:pt>
                <c:pt idx="54">
                  <c:v>23.7109134226001</c:v>
                </c:pt>
                <c:pt idx="55">
                  <c:v>23.6916395668277</c:v>
                </c:pt>
                <c:pt idx="56">
                  <c:v>23.6720758573241</c:v>
                </c:pt>
                <c:pt idx="57">
                  <c:v>23.6522256462303</c:v>
                </c:pt>
                <c:pt idx="58">
                  <c:v>23.6320923347776</c:v>
                </c:pt>
                <c:pt idx="59">
                  <c:v>23.6116793727055</c:v>
                </c:pt>
                <c:pt idx="60">
                  <c:v>23.5909902576697</c:v>
                </c:pt>
                <c:pt idx="61">
                  <c:v>23.5700285346438</c:v>
                </c:pt>
                <c:pt idx="62">
                  <c:v>23.5487977953109</c:v>
                </c:pt>
                <c:pt idx="63">
                  <c:v>23.5273016774491</c:v>
                </c:pt>
                <c:pt idx="64">
                  <c:v>23.5055438643074</c:v>
                </c:pt>
                <c:pt idx="65">
                  <c:v>23.4835280839752</c:v>
                </c:pt>
                <c:pt idx="66">
                  <c:v>23.4612581087429</c:v>
                </c:pt>
                <c:pt idx="67">
                  <c:v>23.4387377544563</c:v>
                </c:pt>
                <c:pt idx="68">
                  <c:v>23.4159708798621</c:v>
                </c:pt>
                <c:pt idx="69">
                  <c:v>23.3929613859471</c:v>
                </c:pt>
                <c:pt idx="70">
                  <c:v>23.3697132152696</c:v>
                </c:pt>
                <c:pt idx="71">
                  <c:v>23.346230351284</c:v>
                </c:pt>
                <c:pt idx="72">
                  <c:v>23.3225168176581</c:v>
                </c:pt>
                <c:pt idx="73">
                  <c:v>23.2985766775838</c:v>
                </c:pt>
                <c:pt idx="74">
                  <c:v>23.2744140330809</c:v>
                </c:pt>
                <c:pt idx="75">
                  <c:v>23.2500330242941</c:v>
                </c:pt>
                <c:pt idx="76">
                  <c:v>23.2254378287838</c:v>
                </c:pt>
                <c:pt idx="77">
                  <c:v>23.2006326608101</c:v>
                </c:pt>
                <c:pt idx="78">
                  <c:v>23.1756217706109</c:v>
                </c:pt>
                <c:pt idx="79">
                  <c:v>23.1504094436734</c:v>
                </c:pt>
                <c:pt idx="80">
                  <c:v>23.125</c:v>
                </c:pt>
                <c:pt idx="81">
                  <c:v>23.0993977933681</c:v>
                </c:pt>
                <c:pt idx="82">
                  <c:v>23.0736072105841</c:v>
                </c:pt>
                <c:pt idx="83">
                  <c:v>23.0476326707315</c:v>
                </c:pt>
                <c:pt idx="84">
                  <c:v>23.021478624414</c:v>
                </c:pt>
                <c:pt idx="85">
                  <c:v>22.9951495529928</c:v>
                </c:pt>
                <c:pt idx="86">
                  <c:v>22.9686499678187</c:v>
                </c:pt>
                <c:pt idx="87">
                  <c:v>22.9419844094592</c:v>
                </c:pt>
                <c:pt idx="88">
                  <c:v>22.9151574469205</c:v>
                </c:pt>
                <c:pt idx="89">
                  <c:v>22.8881736768646</c:v>
                </c:pt>
                <c:pt idx="90">
                  <c:v>22.8610377228215</c:v>
                </c:pt>
                <c:pt idx="91">
                  <c:v>22.8337542343971</c:v>
                </c:pt>
                <c:pt idx="92">
                  <c:v>22.8063278864769</c:v>
                </c:pt>
                <c:pt idx="93">
                  <c:v>22.7787633784244</c:v>
                </c:pt>
                <c:pt idx="94">
                  <c:v>22.751065433276</c:v>
                </c:pt>
                <c:pt idx="95">
                  <c:v>22.7232387969321</c:v>
                </c:pt>
                <c:pt idx="96">
                  <c:v>22.6952882373436</c:v>
                </c:pt>
                <c:pt idx="97">
                  <c:v>22.667218543695</c:v>
                </c:pt>
                <c:pt idx="98">
                  <c:v>22.6390345255838</c:v>
                </c:pt>
                <c:pt idx="99">
                  <c:v>22.6107410121964</c:v>
                </c:pt>
                <c:pt idx="100">
                  <c:v>22.5823428514807</c:v>
                </c:pt>
                <c:pt idx="101">
                  <c:v>22.5538449093152</c:v>
                </c:pt>
                <c:pt idx="102">
                  <c:v>22.5252520686758</c:v>
                </c:pt>
                <c:pt idx="103">
                  <c:v>22.4965692287984</c:v>
                </c:pt>
                <c:pt idx="104">
                  <c:v>22.46780130434</c:v>
                </c:pt>
                <c:pt idx="105">
                  <c:v>22.4389532245363</c:v>
                </c:pt>
                <c:pt idx="106">
                  <c:v>22.4100299323573</c:v>
                </c:pt>
                <c:pt idx="107">
                  <c:v>22.3810363836603</c:v>
                </c:pt>
                <c:pt idx="108">
                  <c:v>22.3519775463405</c:v>
                </c:pt>
                <c:pt idx="109">
                  <c:v>22.3228583994802</c:v>
                </c:pt>
                <c:pt idx="110">
                  <c:v>22.2936839324951</c:v>
                </c:pt>
                <c:pt idx="111">
                  <c:v>22.2644591442801</c:v>
                </c:pt>
                <c:pt idx="112">
                  <c:v>22.2351890423522</c:v>
                </c:pt>
                <c:pt idx="113">
                  <c:v>22.2058786419927</c:v>
                </c:pt>
                <c:pt idx="114">
                  <c:v>22.1765329653877</c:v>
                </c:pt>
                <c:pt idx="115">
                  <c:v>22.1471570407678</c:v>
                </c:pt>
                <c:pt idx="116">
                  <c:v>22.1177559015466</c:v>
                </c:pt>
                <c:pt idx="117">
                  <c:v>22.0883345854579</c:v>
                </c:pt>
                <c:pt idx="118">
                  <c:v>22.0588981336927</c:v>
                </c:pt>
                <c:pt idx="119">
                  <c:v>22.0294515900355</c:v>
                </c:pt>
                <c:pt idx="120">
                  <c:v>22</c:v>
                </c:pt>
                <c:pt idx="121">
                  <c:v>21.9705484099645</c:v>
                </c:pt>
                <c:pt idx="122">
                  <c:v>21.9411018663073</c:v>
                </c:pt>
                <c:pt idx="123">
                  <c:v>21.9116654145421</c:v>
                </c:pt>
                <c:pt idx="124">
                  <c:v>21.8822440984534</c:v>
                </c:pt>
                <c:pt idx="125">
                  <c:v>21.8528429592322</c:v>
                </c:pt>
                <c:pt idx="126">
                  <c:v>21.8234670346123</c:v>
                </c:pt>
                <c:pt idx="127">
                  <c:v>21.7941213580073</c:v>
                </c:pt>
                <c:pt idx="128">
                  <c:v>21.7648109576478</c:v>
                </c:pt>
                <c:pt idx="129">
                  <c:v>21.7355408557199</c:v>
                </c:pt>
                <c:pt idx="130">
                  <c:v>21.7063160675049</c:v>
                </c:pt>
                <c:pt idx="131">
                  <c:v>21.6771416005198</c:v>
                </c:pt>
                <c:pt idx="132">
                  <c:v>21.6480224536595</c:v>
                </c:pt>
                <c:pt idx="133">
                  <c:v>21.6189636163397</c:v>
                </c:pt>
                <c:pt idx="134">
                  <c:v>21.5899700676427</c:v>
                </c:pt>
                <c:pt idx="135">
                  <c:v>21.5610467754637</c:v>
                </c:pt>
                <c:pt idx="136">
                  <c:v>21.53219869566</c:v>
                </c:pt>
                <c:pt idx="137">
                  <c:v>21.5034307712016</c:v>
                </c:pt>
                <c:pt idx="138">
                  <c:v>21.4747479313242</c:v>
                </c:pt>
                <c:pt idx="139">
                  <c:v>21.4461550906848</c:v>
                </c:pt>
                <c:pt idx="140">
                  <c:v>21.4176571485193</c:v>
                </c:pt>
                <c:pt idx="141">
                  <c:v>21.3892589878036</c:v>
                </c:pt>
                <c:pt idx="142">
                  <c:v>21.3609654744162</c:v>
                </c:pt>
                <c:pt idx="143">
                  <c:v>21.332781456305</c:v>
                </c:pt>
                <c:pt idx="144">
                  <c:v>21.3047117626564</c:v>
                </c:pt>
                <c:pt idx="145">
                  <c:v>21.2767612030679</c:v>
                </c:pt>
                <c:pt idx="146">
                  <c:v>21.248934566724</c:v>
                </c:pt>
                <c:pt idx="147">
                  <c:v>21.2212366215756</c:v>
                </c:pt>
                <c:pt idx="148">
                  <c:v>21.1936721135231</c:v>
                </c:pt>
                <c:pt idx="149">
                  <c:v>21.1662457656029</c:v>
                </c:pt>
                <c:pt idx="150">
                  <c:v>21.1389622771785</c:v>
                </c:pt>
                <c:pt idx="151">
                  <c:v>21.1118263231354</c:v>
                </c:pt>
                <c:pt idx="152">
                  <c:v>21.0848425530795</c:v>
                </c:pt>
                <c:pt idx="153">
                  <c:v>21.0580155905408</c:v>
                </c:pt>
                <c:pt idx="154">
                  <c:v>21.0313500321813</c:v>
                </c:pt>
                <c:pt idx="155">
                  <c:v>21.0048504470072</c:v>
                </c:pt>
                <c:pt idx="156">
                  <c:v>20.978521375586</c:v>
                </c:pt>
                <c:pt idx="157">
                  <c:v>20.9523673292685</c:v>
                </c:pt>
                <c:pt idx="158">
                  <c:v>20.9263927894159</c:v>
                </c:pt>
                <c:pt idx="159">
                  <c:v>20.9006022066319</c:v>
                </c:pt>
                <c:pt idx="160">
                  <c:v>20.875</c:v>
                </c:pt>
                <c:pt idx="161">
                  <c:v>20.8495905563266</c:v>
                </c:pt>
                <c:pt idx="162">
                  <c:v>20.8243782293891</c:v>
                </c:pt>
                <c:pt idx="163">
                  <c:v>20.7993673391899</c:v>
                </c:pt>
                <c:pt idx="164">
                  <c:v>20.7745621712162</c:v>
                </c:pt>
                <c:pt idx="165">
                  <c:v>20.7499669757059</c:v>
                </c:pt>
                <c:pt idx="166">
                  <c:v>20.7255859669191</c:v>
                </c:pt>
                <c:pt idx="167">
                  <c:v>20.7014233224162</c:v>
                </c:pt>
                <c:pt idx="168">
                  <c:v>20.6774831823419</c:v>
                </c:pt>
                <c:pt idx="169">
                  <c:v>20.653769648716</c:v>
                </c:pt>
                <c:pt idx="170">
                  <c:v>20.6302867847304</c:v>
                </c:pt>
                <c:pt idx="171">
                  <c:v>20.6070386140529</c:v>
                </c:pt>
                <c:pt idx="172">
                  <c:v>20.5840291201379</c:v>
                </c:pt>
                <c:pt idx="173">
                  <c:v>20.5612622455437</c:v>
                </c:pt>
                <c:pt idx="174">
                  <c:v>20.5387418912571</c:v>
                </c:pt>
                <c:pt idx="175">
                  <c:v>20.5164719160248</c:v>
                </c:pt>
                <c:pt idx="176">
                  <c:v>20.4944561356926</c:v>
                </c:pt>
                <c:pt idx="177">
                  <c:v>20.4726983225509</c:v>
                </c:pt>
                <c:pt idx="178">
                  <c:v>20.4512022046891</c:v>
                </c:pt>
                <c:pt idx="179">
                  <c:v>20.4299714653562</c:v>
                </c:pt>
                <c:pt idx="180">
                  <c:v>20.4090097423303</c:v>
                </c:pt>
                <c:pt idx="181">
                  <c:v>20.3883206272945</c:v>
                </c:pt>
                <c:pt idx="182">
                  <c:v>20.3679076652224</c:v>
                </c:pt>
                <c:pt idx="183">
                  <c:v>20.3477743537697</c:v>
                </c:pt>
                <c:pt idx="184">
                  <c:v>20.3279241426759</c:v>
                </c:pt>
                <c:pt idx="185">
                  <c:v>20.3083604331723</c:v>
                </c:pt>
                <c:pt idx="186">
                  <c:v>20.2890865773999</c:v>
                </c:pt>
                <c:pt idx="187">
                  <c:v>20.2701058778347</c:v>
                </c:pt>
                <c:pt idx="188">
                  <c:v>20.2514215867218</c:v>
                </c:pt>
                <c:pt idx="189">
                  <c:v>20.2330369055183</c:v>
                </c:pt>
                <c:pt idx="190">
                  <c:v>20.2149549843447</c:v>
                </c:pt>
                <c:pt idx="191">
                  <c:v>20.1971789214451</c:v>
                </c:pt>
                <c:pt idx="192">
                  <c:v>20.1797117626564</c:v>
                </c:pt>
                <c:pt idx="193">
                  <c:v>20.1625565008862</c:v>
                </c:pt>
                <c:pt idx="194">
                  <c:v>20.1457160756005</c:v>
                </c:pt>
                <c:pt idx="195">
                  <c:v>20.1291933723193</c:v>
                </c:pt>
                <c:pt idx="196">
                  <c:v>20.1129912221228</c:v>
                </c:pt>
                <c:pt idx="197">
                  <c:v>20.0971124011661</c:v>
                </c:pt>
                <c:pt idx="198">
                  <c:v>20.0815596302033</c:v>
                </c:pt>
                <c:pt idx="199">
                  <c:v>20.0663355741217</c:v>
                </c:pt>
                <c:pt idx="200">
                  <c:v>20.051442841485</c:v>
                </c:pt>
              </c:numCache>
            </c:numRef>
          </c:xVal>
          <c:yVal>
            <c:numRef>
              <c:f>试加重示意图!$H$10004:$H$10204</c:f>
              <c:numCache>
                <c:formatCode>General</c:formatCode>
                <c:ptCount val="201"/>
                <c:pt idx="0">
                  <c:v>22</c:v>
                </c:pt>
                <c:pt idx="1">
                  <c:v>22.0294515900355</c:v>
                </c:pt>
                <c:pt idx="2">
                  <c:v>22.0588981336927</c:v>
                </c:pt>
                <c:pt idx="3">
                  <c:v>22.0883345854579</c:v>
                </c:pt>
                <c:pt idx="4">
                  <c:v>22.1177559015466</c:v>
                </c:pt>
                <c:pt idx="5">
                  <c:v>22.1471570407678</c:v>
                </c:pt>
                <c:pt idx="6">
                  <c:v>22.1765329653877</c:v>
                </c:pt>
                <c:pt idx="7">
                  <c:v>22.2058786419927</c:v>
                </c:pt>
                <c:pt idx="8">
                  <c:v>22.2351890423522</c:v>
                </c:pt>
                <c:pt idx="9">
                  <c:v>22.2644591442801</c:v>
                </c:pt>
                <c:pt idx="10">
                  <c:v>22.2936839324951</c:v>
                </c:pt>
                <c:pt idx="11">
                  <c:v>22.3228583994802</c:v>
                </c:pt>
                <c:pt idx="12">
                  <c:v>22.3519775463405</c:v>
                </c:pt>
                <c:pt idx="13">
                  <c:v>22.3810363836603</c:v>
                </c:pt>
                <c:pt idx="14">
                  <c:v>22.4100299323573</c:v>
                </c:pt>
                <c:pt idx="15">
                  <c:v>22.4389532245363</c:v>
                </c:pt>
                <c:pt idx="16">
                  <c:v>22.46780130434</c:v>
                </c:pt>
                <c:pt idx="17">
                  <c:v>22.4965692287984</c:v>
                </c:pt>
                <c:pt idx="18">
                  <c:v>22.5252520686758</c:v>
                </c:pt>
                <c:pt idx="19">
                  <c:v>22.5538449093152</c:v>
                </c:pt>
                <c:pt idx="20">
                  <c:v>22.5823428514807</c:v>
                </c:pt>
                <c:pt idx="21">
                  <c:v>22.6107410121964</c:v>
                </c:pt>
                <c:pt idx="22">
                  <c:v>22.6390345255838</c:v>
                </c:pt>
                <c:pt idx="23">
                  <c:v>22.667218543695</c:v>
                </c:pt>
                <c:pt idx="24">
                  <c:v>22.6952882373436</c:v>
                </c:pt>
                <c:pt idx="25">
                  <c:v>22.7232387969321</c:v>
                </c:pt>
                <c:pt idx="26">
                  <c:v>22.751065433276</c:v>
                </c:pt>
                <c:pt idx="27">
                  <c:v>22.7787633784244</c:v>
                </c:pt>
                <c:pt idx="28">
                  <c:v>22.8063278864769</c:v>
                </c:pt>
                <c:pt idx="29">
                  <c:v>22.8337542343971</c:v>
                </c:pt>
                <c:pt idx="30">
                  <c:v>22.8610377228215</c:v>
                </c:pt>
                <c:pt idx="31">
                  <c:v>22.8881736768646</c:v>
                </c:pt>
                <c:pt idx="32">
                  <c:v>22.9151574469205</c:v>
                </c:pt>
                <c:pt idx="33">
                  <c:v>22.9419844094592</c:v>
                </c:pt>
                <c:pt idx="34">
                  <c:v>22.9686499678187</c:v>
                </c:pt>
                <c:pt idx="35">
                  <c:v>22.9951495529928</c:v>
                </c:pt>
                <c:pt idx="36">
                  <c:v>23.021478624414</c:v>
                </c:pt>
                <c:pt idx="37">
                  <c:v>23.0476326707315</c:v>
                </c:pt>
                <c:pt idx="38">
                  <c:v>23.0736072105841</c:v>
                </c:pt>
                <c:pt idx="39">
                  <c:v>23.0993977933681</c:v>
                </c:pt>
                <c:pt idx="40">
                  <c:v>23.125</c:v>
                </c:pt>
                <c:pt idx="41">
                  <c:v>23.1504094436734</c:v>
                </c:pt>
                <c:pt idx="42">
                  <c:v>23.1756217706109</c:v>
                </c:pt>
                <c:pt idx="43">
                  <c:v>23.2006326608101</c:v>
                </c:pt>
                <c:pt idx="44">
                  <c:v>23.2254378287838</c:v>
                </c:pt>
                <c:pt idx="45">
                  <c:v>23.2500330242941</c:v>
                </c:pt>
                <c:pt idx="46">
                  <c:v>23.2744140330809</c:v>
                </c:pt>
                <c:pt idx="47">
                  <c:v>23.2985766775838</c:v>
                </c:pt>
                <c:pt idx="48">
                  <c:v>23.3225168176581</c:v>
                </c:pt>
                <c:pt idx="49">
                  <c:v>23.346230351284</c:v>
                </c:pt>
                <c:pt idx="50">
                  <c:v>23.3697132152696</c:v>
                </c:pt>
                <c:pt idx="51">
                  <c:v>23.3929613859471</c:v>
                </c:pt>
                <c:pt idx="52">
                  <c:v>23.4159708798621</c:v>
                </c:pt>
                <c:pt idx="53">
                  <c:v>23.4387377544563</c:v>
                </c:pt>
                <c:pt idx="54">
                  <c:v>23.4612581087429</c:v>
                </c:pt>
                <c:pt idx="55">
                  <c:v>23.4835280839752</c:v>
                </c:pt>
                <c:pt idx="56">
                  <c:v>23.5055438643074</c:v>
                </c:pt>
                <c:pt idx="57">
                  <c:v>23.5273016774491</c:v>
                </c:pt>
                <c:pt idx="58">
                  <c:v>23.5487977953109</c:v>
                </c:pt>
                <c:pt idx="59">
                  <c:v>23.5700285346438</c:v>
                </c:pt>
                <c:pt idx="60">
                  <c:v>23.5909902576697</c:v>
                </c:pt>
                <c:pt idx="61">
                  <c:v>23.6116793727055</c:v>
                </c:pt>
                <c:pt idx="62">
                  <c:v>23.6320923347776</c:v>
                </c:pt>
                <c:pt idx="63">
                  <c:v>23.6522256462303</c:v>
                </c:pt>
                <c:pt idx="64">
                  <c:v>23.6720758573241</c:v>
                </c:pt>
                <c:pt idx="65">
                  <c:v>23.6916395668277</c:v>
                </c:pt>
                <c:pt idx="66">
                  <c:v>23.7109134226001</c:v>
                </c:pt>
                <c:pt idx="67">
                  <c:v>23.7298941221653</c:v>
                </c:pt>
                <c:pt idx="68">
                  <c:v>23.7485784132782</c:v>
                </c:pt>
                <c:pt idx="69">
                  <c:v>23.7669630944817</c:v>
                </c:pt>
                <c:pt idx="70">
                  <c:v>23.7850450156553</c:v>
                </c:pt>
                <c:pt idx="71">
                  <c:v>23.8028210785549</c:v>
                </c:pt>
                <c:pt idx="72">
                  <c:v>23.8202882373436</c:v>
                </c:pt>
                <c:pt idx="73">
                  <c:v>23.8374434991138</c:v>
                </c:pt>
                <c:pt idx="74">
                  <c:v>23.8542839243995</c:v>
                </c:pt>
                <c:pt idx="75">
                  <c:v>23.8708066276807</c:v>
                </c:pt>
                <c:pt idx="76">
                  <c:v>23.8870087778772</c:v>
                </c:pt>
                <c:pt idx="77">
                  <c:v>23.9028875988339</c:v>
                </c:pt>
                <c:pt idx="78">
                  <c:v>23.9184403697967</c:v>
                </c:pt>
                <c:pt idx="79">
                  <c:v>23.9336644258783</c:v>
                </c:pt>
                <c:pt idx="80">
                  <c:v>23.948557158515</c:v>
                </c:pt>
                <c:pt idx="81">
                  <c:v>23.9631160159138</c:v>
                </c:pt>
                <c:pt idx="82">
                  <c:v>23.9773385034894</c:v>
                </c:pt>
                <c:pt idx="83">
                  <c:v>23.9912221842918</c:v>
                </c:pt>
                <c:pt idx="84">
                  <c:v>24.0047646794238</c:v>
                </c:pt>
                <c:pt idx="85">
                  <c:v>24.0179636684485</c:v>
                </c:pt>
                <c:pt idx="86">
                  <c:v>24.0308168897872</c:v>
                </c:pt>
                <c:pt idx="87">
                  <c:v>24.0433221411064</c:v>
                </c:pt>
                <c:pt idx="88">
                  <c:v>24.0554772796959</c:v>
                </c:pt>
                <c:pt idx="89">
                  <c:v>24.067280222835</c:v>
                </c:pt>
                <c:pt idx="90">
                  <c:v>24.0787289481504</c:v>
                </c:pt>
                <c:pt idx="91">
                  <c:v>24.0898214939618</c:v>
                </c:pt>
                <c:pt idx="92">
                  <c:v>24.1005559596187</c:v>
                </c:pt>
                <c:pt idx="93">
                  <c:v>24.1109305058256</c:v>
                </c:pt>
                <c:pt idx="94">
                  <c:v>24.1209433549574</c:v>
                </c:pt>
                <c:pt idx="95">
                  <c:v>24.130592791364</c:v>
                </c:pt>
                <c:pt idx="96">
                  <c:v>24.1398771616641</c:v>
                </c:pt>
                <c:pt idx="97">
                  <c:v>24.1487948750287</c:v>
                </c:pt>
                <c:pt idx="98">
                  <c:v>24.1573444034534</c:v>
                </c:pt>
                <c:pt idx="99">
                  <c:v>24.1655242820207</c:v>
                </c:pt>
                <c:pt idx="100">
                  <c:v>24.1733331091504</c:v>
                </c:pt>
                <c:pt idx="101">
                  <c:v>24.1807695468402</c:v>
                </c:pt>
                <c:pt idx="102">
                  <c:v>24.1878323208948</c:v>
                </c:pt>
                <c:pt idx="103">
                  <c:v>24.1945202211442</c:v>
                </c:pt>
                <c:pt idx="104">
                  <c:v>24.2008321016511</c:v>
                </c:pt>
                <c:pt idx="105">
                  <c:v>24.2067668809073</c:v>
                </c:pt>
                <c:pt idx="106">
                  <c:v>24.2123235420189</c:v>
                </c:pt>
                <c:pt idx="107">
                  <c:v>24.2175011328807</c:v>
                </c:pt>
                <c:pt idx="108">
                  <c:v>24.2222987663391</c:v>
                </c:pt>
                <c:pt idx="109">
                  <c:v>24.2267156203443</c:v>
                </c:pt>
                <c:pt idx="110">
                  <c:v>24.2307509380911</c:v>
                </c:pt>
                <c:pt idx="111">
                  <c:v>24.2344040281486</c:v>
                </c:pt>
                <c:pt idx="112">
                  <c:v>24.2376742645786</c:v>
                </c:pt>
                <c:pt idx="113">
                  <c:v>24.240561087043</c:v>
                </c:pt>
                <c:pt idx="114">
                  <c:v>24.2430640008995</c:v>
                </c:pt>
                <c:pt idx="115">
                  <c:v>24.2451825772869</c:v>
                </c:pt>
                <c:pt idx="116">
                  <c:v>24.2469164531978</c:v>
                </c:pt>
                <c:pt idx="117">
                  <c:v>24.2482653315416</c:v>
                </c:pt>
                <c:pt idx="118">
                  <c:v>24.249228981195</c:v>
                </c:pt>
                <c:pt idx="119">
                  <c:v>24.2498072370415</c:v>
                </c:pt>
                <c:pt idx="120">
                  <c:v>24.25</c:v>
                </c:pt>
                <c:pt idx="121">
                  <c:v>24.2498072370415</c:v>
                </c:pt>
                <c:pt idx="122">
                  <c:v>24.249228981195</c:v>
                </c:pt>
                <c:pt idx="123">
                  <c:v>24.2482653315416</c:v>
                </c:pt>
                <c:pt idx="124">
                  <c:v>24.2469164531978</c:v>
                </c:pt>
                <c:pt idx="125">
                  <c:v>24.2451825772869</c:v>
                </c:pt>
                <c:pt idx="126">
                  <c:v>24.2430640008995</c:v>
                </c:pt>
                <c:pt idx="127">
                  <c:v>24.240561087043</c:v>
                </c:pt>
                <c:pt idx="128">
                  <c:v>24.2376742645786</c:v>
                </c:pt>
                <c:pt idx="129">
                  <c:v>24.2344040281486</c:v>
                </c:pt>
                <c:pt idx="130">
                  <c:v>24.2307509380911</c:v>
                </c:pt>
                <c:pt idx="131">
                  <c:v>24.2267156203443</c:v>
                </c:pt>
                <c:pt idx="132">
                  <c:v>24.2222987663391</c:v>
                </c:pt>
                <c:pt idx="133">
                  <c:v>24.2175011328807</c:v>
                </c:pt>
                <c:pt idx="134">
                  <c:v>24.2123235420189</c:v>
                </c:pt>
                <c:pt idx="135">
                  <c:v>24.2067668809073</c:v>
                </c:pt>
                <c:pt idx="136">
                  <c:v>24.2008321016511</c:v>
                </c:pt>
                <c:pt idx="137">
                  <c:v>24.1945202211442</c:v>
                </c:pt>
                <c:pt idx="138">
                  <c:v>24.1878323208948</c:v>
                </c:pt>
                <c:pt idx="139">
                  <c:v>24.1807695468402</c:v>
                </c:pt>
                <c:pt idx="140">
                  <c:v>24.1733331091504</c:v>
                </c:pt>
                <c:pt idx="141">
                  <c:v>24.1655242820207</c:v>
                </c:pt>
                <c:pt idx="142">
                  <c:v>24.1573444034534</c:v>
                </c:pt>
                <c:pt idx="143">
                  <c:v>24.1487948750287</c:v>
                </c:pt>
                <c:pt idx="144">
                  <c:v>24.1398771616641</c:v>
                </c:pt>
                <c:pt idx="145">
                  <c:v>24.130592791364</c:v>
                </c:pt>
                <c:pt idx="146">
                  <c:v>24.1209433549574</c:v>
                </c:pt>
                <c:pt idx="147">
                  <c:v>24.1109305058256</c:v>
                </c:pt>
                <c:pt idx="148">
                  <c:v>24.1005559596187</c:v>
                </c:pt>
                <c:pt idx="149">
                  <c:v>24.0898214939618</c:v>
                </c:pt>
                <c:pt idx="150">
                  <c:v>24.0787289481504</c:v>
                </c:pt>
                <c:pt idx="151">
                  <c:v>24.067280222835</c:v>
                </c:pt>
                <c:pt idx="152">
                  <c:v>24.0554772796959</c:v>
                </c:pt>
                <c:pt idx="153">
                  <c:v>24.0433221411064</c:v>
                </c:pt>
                <c:pt idx="154">
                  <c:v>24.0308168897872</c:v>
                </c:pt>
                <c:pt idx="155">
                  <c:v>24.0179636684485</c:v>
                </c:pt>
                <c:pt idx="156">
                  <c:v>24.0047646794238</c:v>
                </c:pt>
                <c:pt idx="157">
                  <c:v>23.9912221842918</c:v>
                </c:pt>
                <c:pt idx="158">
                  <c:v>23.9773385034894</c:v>
                </c:pt>
                <c:pt idx="159">
                  <c:v>23.9631160159138</c:v>
                </c:pt>
                <c:pt idx="160">
                  <c:v>23.948557158515</c:v>
                </c:pt>
                <c:pt idx="161">
                  <c:v>23.9336644258783</c:v>
                </c:pt>
                <c:pt idx="162">
                  <c:v>23.9184403697967</c:v>
                </c:pt>
                <c:pt idx="163">
                  <c:v>23.9028875988339</c:v>
                </c:pt>
                <c:pt idx="164">
                  <c:v>23.8870087778772</c:v>
                </c:pt>
                <c:pt idx="165">
                  <c:v>23.8708066276807</c:v>
                </c:pt>
                <c:pt idx="166">
                  <c:v>23.8542839243995</c:v>
                </c:pt>
                <c:pt idx="167">
                  <c:v>23.8374434991138</c:v>
                </c:pt>
                <c:pt idx="168">
                  <c:v>23.8202882373436</c:v>
                </c:pt>
                <c:pt idx="169">
                  <c:v>23.8028210785549</c:v>
                </c:pt>
                <c:pt idx="170">
                  <c:v>23.7850450156553</c:v>
                </c:pt>
                <c:pt idx="171">
                  <c:v>23.7669630944817</c:v>
                </c:pt>
                <c:pt idx="172">
                  <c:v>23.7485784132782</c:v>
                </c:pt>
                <c:pt idx="173">
                  <c:v>23.7298941221653</c:v>
                </c:pt>
                <c:pt idx="174">
                  <c:v>23.7109134226001</c:v>
                </c:pt>
                <c:pt idx="175">
                  <c:v>23.6916395668277</c:v>
                </c:pt>
                <c:pt idx="176">
                  <c:v>23.6720758573241</c:v>
                </c:pt>
                <c:pt idx="177">
                  <c:v>23.6522256462303</c:v>
                </c:pt>
                <c:pt idx="178">
                  <c:v>23.6320923347776</c:v>
                </c:pt>
                <c:pt idx="179">
                  <c:v>23.6116793727055</c:v>
                </c:pt>
                <c:pt idx="180">
                  <c:v>23.5909902576697</c:v>
                </c:pt>
                <c:pt idx="181">
                  <c:v>23.5700285346438</c:v>
                </c:pt>
                <c:pt idx="182">
                  <c:v>23.5487977953109</c:v>
                </c:pt>
                <c:pt idx="183">
                  <c:v>23.5273016774491</c:v>
                </c:pt>
                <c:pt idx="184">
                  <c:v>23.5055438643074</c:v>
                </c:pt>
                <c:pt idx="185">
                  <c:v>23.4835280839752</c:v>
                </c:pt>
                <c:pt idx="186">
                  <c:v>23.4612581087429</c:v>
                </c:pt>
                <c:pt idx="187">
                  <c:v>23.4387377544563</c:v>
                </c:pt>
                <c:pt idx="188">
                  <c:v>23.4159708798621</c:v>
                </c:pt>
                <c:pt idx="189">
                  <c:v>23.3929613859471</c:v>
                </c:pt>
                <c:pt idx="190">
                  <c:v>23.3697132152696</c:v>
                </c:pt>
                <c:pt idx="191">
                  <c:v>23.346230351284</c:v>
                </c:pt>
                <c:pt idx="192">
                  <c:v>23.3225168176581</c:v>
                </c:pt>
                <c:pt idx="193">
                  <c:v>23.2985766775838</c:v>
                </c:pt>
                <c:pt idx="194">
                  <c:v>23.2744140330809</c:v>
                </c:pt>
                <c:pt idx="195">
                  <c:v>23.2500330242941</c:v>
                </c:pt>
                <c:pt idx="196">
                  <c:v>23.2254378287838</c:v>
                </c:pt>
                <c:pt idx="197">
                  <c:v>23.2006326608101</c:v>
                </c:pt>
                <c:pt idx="198">
                  <c:v>23.1756217706109</c:v>
                </c:pt>
                <c:pt idx="199">
                  <c:v>23.1504094436734</c:v>
                </c:pt>
                <c:pt idx="200">
                  <c:v>23.125</c:v>
                </c:pt>
              </c:numCache>
            </c:numRef>
          </c:yVal>
          <c:smooth val="1"/>
        </c:ser>
        <c:ser>
          <c:idx val="18"/>
          <c:order val="18"/>
          <c:tx>
            <c:strRef>
              <c:f>试加重示意图!$L$10018</c:f>
              <c:strCache>
                <c:ptCount val="1"/>
                <c:pt idx="0">
                  <c:v>150°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/>
              </c:ext>
            </c:extLst>
          </c:dLbls>
          <c:xVal>
            <c:numRef>
              <c:f>试加重示意图!$G$10206</c:f>
              <c:numCache>
                <c:formatCode>General</c:formatCode>
                <c:ptCount val="1"/>
                <c:pt idx="0">
                  <c:v>22.9161115182946</c:v>
                </c:pt>
              </c:numCache>
            </c:numRef>
          </c:xVal>
          <c:yVal>
            <c:numRef>
              <c:f>试加重示意图!$H$10206</c:f>
              <c:numCache>
                <c:formatCode>General</c:formatCode>
                <c:ptCount val="1"/>
                <c:pt idx="0">
                  <c:v>25.2482864230311</c:v>
                </c:pt>
              </c:numCache>
            </c:numRef>
          </c:yVal>
          <c:smooth val="1"/>
        </c:ser>
        <c:ser>
          <c:idx val="19"/>
          <c:order val="19"/>
          <c:tx>
            <c:strRef>
              <c:f>"Ax夹角"</c:f>
              <c:strCache>
                <c:ptCount val="1"/>
                <c:pt idx="0">
                  <c:v>Ax夹角</c:v>
                </c:pt>
              </c:strCache>
            </c:strRef>
          </c:tx>
          <c:spPr>
            <a:ln w="19050" cap="rnd" cmpd="sng" algn="ctr">
              <a:solidFill>
                <a:schemeClr val="accent2">
                  <a:tint val="90000"/>
                  <a:shade val="95000"/>
                  <a:satMod val="105000"/>
                </a:schemeClr>
              </a:solidFill>
              <a:prstDash val="sysDash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试加重示意图!$G$10209:$G$10409</c:f>
              <c:numCache>
                <c:formatCode>General</c:formatCode>
                <c:ptCount val="201"/>
                <c:pt idx="0">
                  <c:v>19.4019237886467</c:v>
                </c:pt>
                <c:pt idx="1">
                  <c:v>19.3999625196653</c:v>
                </c:pt>
                <c:pt idx="2">
                  <c:v>19.3980057057773</c:v>
                </c:pt>
                <c:pt idx="3">
                  <c:v>19.3960533503356</c:v>
                </c:pt>
                <c:pt idx="4">
                  <c:v>19.3941054566854</c:v>
                </c:pt>
                <c:pt idx="5">
                  <c:v>19.3921620281646</c:v>
                </c:pt>
                <c:pt idx="6">
                  <c:v>19.390223068103</c:v>
                </c:pt>
                <c:pt idx="7">
                  <c:v>19.388288579823</c:v>
                </c:pt>
                <c:pt idx="8">
                  <c:v>19.3863585666394</c:v>
                </c:pt>
                <c:pt idx="9">
                  <c:v>19.3844330318592</c:v>
                </c:pt>
                <c:pt idx="10">
                  <c:v>19.3825119787816</c:v>
                </c:pt>
                <c:pt idx="11">
                  <c:v>19.3805954106984</c:v>
                </c:pt>
                <c:pt idx="12">
                  <c:v>19.3786833308936</c:v>
                </c:pt>
                <c:pt idx="13">
                  <c:v>19.3767757426434</c:v>
                </c:pt>
                <c:pt idx="14">
                  <c:v>19.3748726492165</c:v>
                </c:pt>
                <c:pt idx="15">
                  <c:v>19.3729740538738</c:v>
                </c:pt>
                <c:pt idx="16">
                  <c:v>19.3710799598684</c:v>
                </c:pt>
                <c:pt idx="17">
                  <c:v>19.3691903704458</c:v>
                </c:pt>
                <c:pt idx="18">
                  <c:v>19.3673052888439</c:v>
                </c:pt>
                <c:pt idx="19">
                  <c:v>19.3654247182925</c:v>
                </c:pt>
                <c:pt idx="20">
                  <c:v>19.3635486620141</c:v>
                </c:pt>
                <c:pt idx="21">
                  <c:v>19.3616771232232</c:v>
                </c:pt>
                <c:pt idx="22">
                  <c:v>19.3598101051266</c:v>
                </c:pt>
                <c:pt idx="23">
                  <c:v>19.3579476109234</c:v>
                </c:pt>
                <c:pt idx="24">
                  <c:v>19.356089643805</c:v>
                </c:pt>
                <c:pt idx="25">
                  <c:v>19.3542362069549</c:v>
                </c:pt>
                <c:pt idx="26">
                  <c:v>19.352387303549</c:v>
                </c:pt>
                <c:pt idx="27">
                  <c:v>19.3505429367552</c:v>
                </c:pt>
                <c:pt idx="28">
                  <c:v>19.3487031097339</c:v>
                </c:pt>
                <c:pt idx="29">
                  <c:v>19.3468678256376</c:v>
                </c:pt>
                <c:pt idx="30">
                  <c:v>19.3450370876109</c:v>
                </c:pt>
                <c:pt idx="31">
                  <c:v>19.3432108987908</c:v>
                </c:pt>
                <c:pt idx="32">
                  <c:v>19.3413892623064</c:v>
                </c:pt>
                <c:pt idx="33">
                  <c:v>19.339572181279</c:v>
                </c:pt>
                <c:pt idx="34">
                  <c:v>19.3377596588222</c:v>
                </c:pt>
                <c:pt idx="35">
                  <c:v>19.3359516980416</c:v>
                </c:pt>
                <c:pt idx="36">
                  <c:v>19.3341483020352</c:v>
                </c:pt>
                <c:pt idx="37">
                  <c:v>19.332349473893</c:v>
                </c:pt>
                <c:pt idx="38">
                  <c:v>19.3305552166972</c:v>
                </c:pt>
                <c:pt idx="39">
                  <c:v>19.3287655335223</c:v>
                </c:pt>
                <c:pt idx="40">
                  <c:v>19.3269804274349</c:v>
                </c:pt>
                <c:pt idx="41">
                  <c:v>19.3251999014937</c:v>
                </c:pt>
                <c:pt idx="42">
                  <c:v>19.3234239587495</c:v>
                </c:pt>
                <c:pt idx="43">
                  <c:v>19.3216526022454</c:v>
                </c:pt>
                <c:pt idx="44">
                  <c:v>19.3198858350165</c:v>
                </c:pt>
                <c:pt idx="45">
                  <c:v>19.3181236600902</c:v>
                </c:pt>
                <c:pt idx="46">
                  <c:v>19.3163660804859</c:v>
                </c:pt>
                <c:pt idx="47">
                  <c:v>19.3146130992152</c:v>
                </c:pt>
                <c:pt idx="48">
                  <c:v>19.3128647192818</c:v>
                </c:pt>
                <c:pt idx="49">
                  <c:v>19.3111209436814</c:v>
                </c:pt>
                <c:pt idx="50">
                  <c:v>19.3093817754019</c:v>
                </c:pt>
                <c:pt idx="51">
                  <c:v>19.3076472174235</c:v>
                </c:pt>
                <c:pt idx="52">
                  <c:v>19.3059172727182</c:v>
                </c:pt>
                <c:pt idx="53">
                  <c:v>19.3041919442501</c:v>
                </c:pt>
                <c:pt idx="54">
                  <c:v>19.3024712349757</c:v>
                </c:pt>
                <c:pt idx="55">
                  <c:v>19.3007551478434</c:v>
                </c:pt>
                <c:pt idx="56">
                  <c:v>19.2990436857934</c:v>
                </c:pt>
                <c:pt idx="57">
                  <c:v>19.2973368517585</c:v>
                </c:pt>
                <c:pt idx="58">
                  <c:v>19.2956346486633</c:v>
                </c:pt>
                <c:pt idx="59">
                  <c:v>19.2939370794243</c:v>
                </c:pt>
                <c:pt idx="60">
                  <c:v>19.2922441469504</c:v>
                </c:pt>
                <c:pt idx="61">
                  <c:v>19.2905558541424</c:v>
                </c:pt>
                <c:pt idx="62">
                  <c:v>19.288872203893</c:v>
                </c:pt>
                <c:pt idx="63">
                  <c:v>19.2871931990872</c:v>
                </c:pt>
                <c:pt idx="64">
                  <c:v>19.285518842602</c:v>
                </c:pt>
                <c:pt idx="65">
                  <c:v>19.2838491373061</c:v>
                </c:pt>
                <c:pt idx="66">
                  <c:v>19.2821840860608</c:v>
                </c:pt>
                <c:pt idx="67">
                  <c:v>19.280523691719</c:v>
                </c:pt>
                <c:pt idx="68">
                  <c:v>19.2788679571256</c:v>
                </c:pt>
                <c:pt idx="69">
                  <c:v>19.2772168851179</c:v>
                </c:pt>
                <c:pt idx="70">
                  <c:v>19.2755704785248</c:v>
                </c:pt>
                <c:pt idx="71">
                  <c:v>19.2739287401674</c:v>
                </c:pt>
                <c:pt idx="72">
                  <c:v>19.2722916728588</c:v>
                </c:pt>
                <c:pt idx="73">
                  <c:v>19.2706592794041</c:v>
                </c:pt>
                <c:pt idx="74">
                  <c:v>19.2690315626003</c:v>
                </c:pt>
                <c:pt idx="75">
                  <c:v>19.2674085252365</c:v>
                </c:pt>
                <c:pt idx="76">
                  <c:v>19.2657901700937</c:v>
                </c:pt>
                <c:pt idx="77">
                  <c:v>19.2641764999449</c:v>
                </c:pt>
                <c:pt idx="78">
                  <c:v>19.2625675175551</c:v>
                </c:pt>
                <c:pt idx="79">
                  <c:v>19.2609632256812</c:v>
                </c:pt>
                <c:pt idx="80">
                  <c:v>19.2593636270722</c:v>
                </c:pt>
                <c:pt idx="81">
                  <c:v>19.2577687244689</c:v>
                </c:pt>
                <c:pt idx="82">
                  <c:v>19.2561785206042</c:v>
                </c:pt>
                <c:pt idx="83">
                  <c:v>19.2545930182027</c:v>
                </c:pt>
                <c:pt idx="84">
                  <c:v>19.2530122199813</c:v>
                </c:pt>
                <c:pt idx="85">
                  <c:v>19.2514361286486</c:v>
                </c:pt>
                <c:pt idx="86">
                  <c:v>19.2498647469052</c:v>
                </c:pt>
                <c:pt idx="87">
                  <c:v>19.2482980774435</c:v>
                </c:pt>
                <c:pt idx="88">
                  <c:v>19.2467361229481</c:v>
                </c:pt>
                <c:pt idx="89">
                  <c:v>19.2451788860953</c:v>
                </c:pt>
                <c:pt idx="90">
                  <c:v>19.2436263695533</c:v>
                </c:pt>
                <c:pt idx="91">
                  <c:v>19.2420785759825</c:v>
                </c:pt>
                <c:pt idx="92">
                  <c:v>19.2405355080348</c:v>
                </c:pt>
                <c:pt idx="93">
                  <c:v>19.2389971683543</c:v>
                </c:pt>
                <c:pt idx="94">
                  <c:v>19.2374635595769</c:v>
                </c:pt>
                <c:pt idx="95">
                  <c:v>19.2359346843304</c:v>
                </c:pt>
                <c:pt idx="96">
                  <c:v>19.2344105452345</c:v>
                </c:pt>
                <c:pt idx="97">
                  <c:v>19.2328911449007</c:v>
                </c:pt>
                <c:pt idx="98">
                  <c:v>19.2313764859326</c:v>
                </c:pt>
                <c:pt idx="99">
                  <c:v>19.2298665709253</c:v>
                </c:pt>
                <c:pt idx="100">
                  <c:v>19.2283614024662</c:v>
                </c:pt>
                <c:pt idx="101">
                  <c:v>19.2268609831342</c:v>
                </c:pt>
                <c:pt idx="102">
                  <c:v>19.2253653155004</c:v>
                </c:pt>
                <c:pt idx="103">
                  <c:v>19.2238744021274</c:v>
                </c:pt>
                <c:pt idx="104">
                  <c:v>19.22238824557</c:v>
                </c:pt>
                <c:pt idx="105">
                  <c:v>19.2209068483747</c:v>
                </c:pt>
                <c:pt idx="106">
                  <c:v>19.2194302130797</c:v>
                </c:pt>
                <c:pt idx="107">
                  <c:v>19.2179583422152</c:v>
                </c:pt>
                <c:pt idx="108">
                  <c:v>19.2164912383033</c:v>
                </c:pt>
                <c:pt idx="109">
                  <c:v>19.2150289038577</c:v>
                </c:pt>
                <c:pt idx="110">
                  <c:v>19.2135713413843</c:v>
                </c:pt>
                <c:pt idx="111">
                  <c:v>19.2121185533803</c:v>
                </c:pt>
                <c:pt idx="112">
                  <c:v>19.2106705423353</c:v>
                </c:pt>
                <c:pt idx="113">
                  <c:v>19.2092273107302</c:v>
                </c:pt>
                <c:pt idx="114">
                  <c:v>19.2077888610381</c:v>
                </c:pt>
                <c:pt idx="115">
                  <c:v>19.2063551957236</c:v>
                </c:pt>
                <c:pt idx="116">
                  <c:v>19.2049263172434</c:v>
                </c:pt>
                <c:pt idx="117">
                  <c:v>19.2035022280457</c:v>
                </c:pt>
                <c:pt idx="118">
                  <c:v>19.2020829305707</c:v>
                </c:pt>
                <c:pt idx="119">
                  <c:v>19.2006684272504</c:v>
                </c:pt>
                <c:pt idx="120">
                  <c:v>19.1992587205084</c:v>
                </c:pt>
                <c:pt idx="121">
                  <c:v>19.1978538127603</c:v>
                </c:pt>
                <c:pt idx="122">
                  <c:v>19.1964537064132</c:v>
                </c:pt>
                <c:pt idx="123">
                  <c:v>19.1950584038663</c:v>
                </c:pt>
                <c:pt idx="124">
                  <c:v>19.1936679075104</c:v>
                </c:pt>
                <c:pt idx="125">
                  <c:v>19.192282219728</c:v>
                </c:pt>
                <c:pt idx="126">
                  <c:v>19.1909013428936</c:v>
                </c:pt>
                <c:pt idx="127">
                  <c:v>19.189525279373</c:v>
                </c:pt>
                <c:pt idx="128">
                  <c:v>19.1881540315244</c:v>
                </c:pt>
                <c:pt idx="129">
                  <c:v>19.1867876016971</c:v>
                </c:pt>
                <c:pt idx="130">
                  <c:v>19.1854259922326</c:v>
                </c:pt>
                <c:pt idx="131">
                  <c:v>19.1840692054639</c:v>
                </c:pt>
                <c:pt idx="132">
                  <c:v>19.1827172437159</c:v>
                </c:pt>
                <c:pt idx="133">
                  <c:v>19.1813701093051</c:v>
                </c:pt>
                <c:pt idx="134">
                  <c:v>19.1800278045398</c:v>
                </c:pt>
                <c:pt idx="135">
                  <c:v>19.17869033172</c:v>
                </c:pt>
                <c:pt idx="136">
                  <c:v>19.1773576931374</c:v>
                </c:pt>
                <c:pt idx="137">
                  <c:v>19.1760298910754</c:v>
                </c:pt>
                <c:pt idx="138">
                  <c:v>19.1747069278092</c:v>
                </c:pt>
                <c:pt idx="139">
                  <c:v>19.1733888056057</c:v>
                </c:pt>
                <c:pt idx="140">
                  <c:v>19.1720755267235</c:v>
                </c:pt>
                <c:pt idx="141">
                  <c:v>19.1707670934127</c:v>
                </c:pt>
                <c:pt idx="142">
                  <c:v>19.1694635079154</c:v>
                </c:pt>
                <c:pt idx="143">
                  <c:v>19.1681647724653</c:v>
                </c:pt>
                <c:pt idx="144">
                  <c:v>19.1668708892876</c:v>
                </c:pt>
                <c:pt idx="145">
                  <c:v>19.1655818605994</c:v>
                </c:pt>
                <c:pt idx="146">
                  <c:v>19.1642976886094</c:v>
                </c:pt>
                <c:pt idx="147">
                  <c:v>19.1630183755181</c:v>
                </c:pt>
                <c:pt idx="148">
                  <c:v>19.1617439235174</c:v>
                </c:pt>
                <c:pt idx="149">
                  <c:v>19.1604743347911</c:v>
                </c:pt>
                <c:pt idx="150">
                  <c:v>19.1592096115147</c:v>
                </c:pt>
                <c:pt idx="151">
                  <c:v>19.1579497558552</c:v>
                </c:pt>
                <c:pt idx="152">
                  <c:v>19.1566947699713</c:v>
                </c:pt>
                <c:pt idx="153">
                  <c:v>19.1554446560134</c:v>
                </c:pt>
                <c:pt idx="154">
                  <c:v>19.1541994161235</c:v>
                </c:pt>
                <c:pt idx="155">
                  <c:v>19.1529590524354</c:v>
                </c:pt>
                <c:pt idx="156">
                  <c:v>19.1517235670743</c:v>
                </c:pt>
                <c:pt idx="157">
                  <c:v>19.1504929621573</c:v>
                </c:pt>
                <c:pt idx="158">
                  <c:v>19.1492672397929</c:v>
                </c:pt>
                <c:pt idx="159">
                  <c:v>19.1480464020813</c:v>
                </c:pt>
                <c:pt idx="160">
                  <c:v>19.1468304511146</c:v>
                </c:pt>
                <c:pt idx="161">
                  <c:v>19.145619388976</c:v>
                </c:pt>
                <c:pt idx="162">
                  <c:v>19.1444132177409</c:v>
                </c:pt>
                <c:pt idx="163">
                  <c:v>19.1432119394758</c:v>
                </c:pt>
                <c:pt idx="164">
                  <c:v>19.1420155562393</c:v>
                </c:pt>
                <c:pt idx="165">
                  <c:v>19.1408240700811</c:v>
                </c:pt>
                <c:pt idx="166">
                  <c:v>19.139637483043</c:v>
                </c:pt>
                <c:pt idx="167">
                  <c:v>19.1384557971581</c:v>
                </c:pt>
                <c:pt idx="168">
                  <c:v>19.1372790144512</c:v>
                </c:pt>
                <c:pt idx="169">
                  <c:v>19.1361071369387</c:v>
                </c:pt>
                <c:pt idx="170">
                  <c:v>19.1349401666285</c:v>
                </c:pt>
                <c:pt idx="171">
                  <c:v>19.1337781055202</c:v>
                </c:pt>
                <c:pt idx="172">
                  <c:v>19.132620955605</c:v>
                </c:pt>
                <c:pt idx="173">
                  <c:v>19.1314687188657</c:v>
                </c:pt>
                <c:pt idx="174">
                  <c:v>19.1303213972765</c:v>
                </c:pt>
                <c:pt idx="175">
                  <c:v>19.1291789928034</c:v>
                </c:pt>
                <c:pt idx="176">
                  <c:v>19.1280415074038</c:v>
                </c:pt>
                <c:pt idx="177">
                  <c:v>19.1269089430268</c:v>
                </c:pt>
                <c:pt idx="178">
                  <c:v>19.1257813016131</c:v>
                </c:pt>
                <c:pt idx="179">
                  <c:v>19.1246585850947</c:v>
                </c:pt>
                <c:pt idx="180">
                  <c:v>19.1235407953954</c:v>
                </c:pt>
                <c:pt idx="181">
                  <c:v>19.1224279344306</c:v>
                </c:pt>
                <c:pt idx="182">
                  <c:v>19.1213200041071</c:v>
                </c:pt>
                <c:pt idx="183">
                  <c:v>19.1202170063233</c:v>
                </c:pt>
                <c:pt idx="184">
                  <c:v>19.1191189429692</c:v>
                </c:pt>
                <c:pt idx="185">
                  <c:v>19.1180258159262</c:v>
                </c:pt>
                <c:pt idx="186">
                  <c:v>19.1169376270675</c:v>
                </c:pt>
                <c:pt idx="187">
                  <c:v>19.1158543782575</c:v>
                </c:pt>
                <c:pt idx="188">
                  <c:v>19.1147760713524</c:v>
                </c:pt>
                <c:pt idx="189">
                  <c:v>19.1137027081999</c:v>
                </c:pt>
                <c:pt idx="190">
                  <c:v>19.1126342906391</c:v>
                </c:pt>
                <c:pt idx="191">
                  <c:v>19.1115708205007</c:v>
                </c:pt>
                <c:pt idx="192">
                  <c:v>19.1105122996071</c:v>
                </c:pt>
                <c:pt idx="193">
                  <c:v>19.1094587297718</c:v>
                </c:pt>
                <c:pt idx="194">
                  <c:v>19.1084101128002</c:v>
                </c:pt>
                <c:pt idx="195">
                  <c:v>19.107366450489</c:v>
                </c:pt>
                <c:pt idx="196">
                  <c:v>19.1063277446266</c:v>
                </c:pt>
                <c:pt idx="197">
                  <c:v>19.1052939969928</c:v>
                </c:pt>
                <c:pt idx="198">
                  <c:v>19.1042652093587</c:v>
                </c:pt>
                <c:pt idx="199">
                  <c:v>19.1032413834873</c:v>
                </c:pt>
                <c:pt idx="200">
                  <c:v>19.1022225211328</c:v>
                </c:pt>
              </c:numCache>
            </c:numRef>
          </c:xVal>
          <c:yVal>
            <c:numRef>
              <c:f>试加重示意图!$H$10209:$H$10409</c:f>
              <c:numCache>
                <c:formatCode>General</c:formatCode>
                <c:ptCount val="201"/>
                <c:pt idx="0">
                  <c:v>23.5</c:v>
                </c:pt>
                <c:pt idx="1">
                  <c:v>23.4965978420587</c:v>
                </c:pt>
                <c:pt idx="2">
                  <c:v>23.4931931197378</c:v>
                </c:pt>
                <c:pt idx="3">
                  <c:v>23.4897858388712</c:v>
                </c:pt>
                <c:pt idx="4">
                  <c:v>23.4863760052972</c:v>
                </c:pt>
                <c:pt idx="5">
                  <c:v>23.4829636248584</c:v>
                </c:pt>
                <c:pt idx="6">
                  <c:v>23.4795487034019</c:v>
                </c:pt>
                <c:pt idx="7">
                  <c:v>23.476131246779</c:v>
                </c:pt>
                <c:pt idx="8">
                  <c:v>23.4727112608454</c:v>
                </c:pt>
                <c:pt idx="9">
                  <c:v>23.4692887514613</c:v>
                </c:pt>
                <c:pt idx="10">
                  <c:v>23.4658637244909</c:v>
                </c:pt>
                <c:pt idx="11">
                  <c:v>23.4624361858029</c:v>
                </c:pt>
                <c:pt idx="12">
                  <c:v>23.4590061412705</c:v>
                </c:pt>
                <c:pt idx="13">
                  <c:v>23.4555735967708</c:v>
                </c:pt>
                <c:pt idx="14">
                  <c:v>23.4521385581854</c:v>
                </c:pt>
                <c:pt idx="15">
                  <c:v>23.4487010314001</c:v>
                </c:pt>
                <c:pt idx="16">
                  <c:v>23.4452610223052</c:v>
                </c:pt>
                <c:pt idx="17">
                  <c:v>23.4418185367948</c:v>
                </c:pt>
                <c:pt idx="18">
                  <c:v>23.4383735807677</c:v>
                </c:pt>
                <c:pt idx="19">
                  <c:v>23.4349261601267</c:v>
                </c:pt>
                <c:pt idx="20">
                  <c:v>23.4314762807788</c:v>
                </c:pt>
                <c:pt idx="21">
                  <c:v>23.4280239486354</c:v>
                </c:pt>
                <c:pt idx="22">
                  <c:v>23.4245691696118</c:v>
                </c:pt>
                <c:pt idx="23">
                  <c:v>23.4211119496278</c:v>
                </c:pt>
                <c:pt idx="24">
                  <c:v>23.4176522946072</c:v>
                </c:pt>
                <c:pt idx="25">
                  <c:v>23.414190210478</c:v>
                </c:pt>
                <c:pt idx="26">
                  <c:v>23.4107257031725</c:v>
                </c:pt>
                <c:pt idx="27">
                  <c:v>23.4072587786269</c:v>
                </c:pt>
                <c:pt idx="28">
                  <c:v>23.4037894427817</c:v>
                </c:pt>
                <c:pt idx="29">
                  <c:v>23.4003177015816</c:v>
                </c:pt>
                <c:pt idx="30">
                  <c:v>23.3968435609753</c:v>
                </c:pt>
                <c:pt idx="31">
                  <c:v>23.3933670269157</c:v>
                </c:pt>
                <c:pt idx="32">
                  <c:v>23.3898881053596</c:v>
                </c:pt>
                <c:pt idx="33">
                  <c:v>23.3864068022681</c:v>
                </c:pt>
                <c:pt idx="34">
                  <c:v>23.3829231236064</c:v>
                </c:pt>
                <c:pt idx="35">
                  <c:v>23.3794370753436</c:v>
                </c:pt>
                <c:pt idx="36">
                  <c:v>23.375948663453</c:v>
                </c:pt>
                <c:pt idx="37">
                  <c:v>23.3724578939118</c:v>
                </c:pt>
                <c:pt idx="38">
                  <c:v>23.3689647727014</c:v>
                </c:pt>
                <c:pt idx="39">
                  <c:v>23.3654693058073</c:v>
                </c:pt>
                <c:pt idx="40">
                  <c:v>23.3619714992187</c:v>
                </c:pt>
                <c:pt idx="41">
                  <c:v>23.358471358929</c:v>
                </c:pt>
                <c:pt idx="42">
                  <c:v>23.3549688909357</c:v>
                </c:pt>
                <c:pt idx="43">
                  <c:v>23.3514641012402</c:v>
                </c:pt>
                <c:pt idx="44">
                  <c:v>23.3479569958477</c:v>
                </c:pt>
                <c:pt idx="45">
                  <c:v>23.3444475807677</c:v>
                </c:pt>
                <c:pt idx="46">
                  <c:v>23.3409358620134</c:v>
                </c:pt>
                <c:pt idx="47">
                  <c:v>23.337421845602</c:v>
                </c:pt>
                <c:pt idx="48">
                  <c:v>23.3339055375548</c:v>
                </c:pt>
                <c:pt idx="49">
                  <c:v>23.3303869438968</c:v>
                </c:pt>
                <c:pt idx="50">
                  <c:v>23.326866070657</c:v>
                </c:pt>
                <c:pt idx="51">
                  <c:v>23.3233429238684</c:v>
                </c:pt>
                <c:pt idx="52">
                  <c:v>23.3198175095678</c:v>
                </c:pt>
                <c:pt idx="53">
                  <c:v>23.3162898337958</c:v>
                </c:pt>
                <c:pt idx="54">
                  <c:v>23.3127599025971</c:v>
                </c:pt>
                <c:pt idx="55">
                  <c:v>23.3092277220201</c:v>
                </c:pt>
                <c:pt idx="56">
                  <c:v>23.305693298117</c:v>
                </c:pt>
                <c:pt idx="57">
                  <c:v>23.3021566369441</c:v>
                </c:pt>
                <c:pt idx="58">
                  <c:v>23.2986177445613</c:v>
                </c:pt>
                <c:pt idx="59">
                  <c:v>23.2950766270323</c:v>
                </c:pt>
                <c:pt idx="60">
                  <c:v>23.2915332904249</c:v>
                </c:pt>
                <c:pt idx="61">
                  <c:v>23.2879877408104</c:v>
                </c:pt>
                <c:pt idx="62">
                  <c:v>23.284439984264</c:v>
                </c:pt>
                <c:pt idx="63">
                  <c:v>23.2808900268647</c:v>
                </c:pt>
                <c:pt idx="64">
                  <c:v>23.2773378746953</c:v>
                </c:pt>
                <c:pt idx="65">
                  <c:v>23.2737835338422</c:v>
                </c:pt>
                <c:pt idx="66">
                  <c:v>23.2702270103957</c:v>
                </c:pt>
                <c:pt idx="67">
                  <c:v>23.2666683104499</c:v>
                </c:pt>
                <c:pt idx="68">
                  <c:v>23.2631074401025</c:v>
                </c:pt>
                <c:pt idx="69">
                  <c:v>23.2595444054549</c:v>
                </c:pt>
                <c:pt idx="70">
                  <c:v>23.2559792126123</c:v>
                </c:pt>
                <c:pt idx="71">
                  <c:v>23.2524118676836</c:v>
                </c:pt>
                <c:pt idx="72">
                  <c:v>23.2488423767812</c:v>
                </c:pt>
                <c:pt idx="73">
                  <c:v>23.2452707460215</c:v>
                </c:pt>
                <c:pt idx="74">
                  <c:v>23.2416969815243</c:v>
                </c:pt>
                <c:pt idx="75">
                  <c:v>23.2381210894132</c:v>
                </c:pt>
                <c:pt idx="76">
                  <c:v>23.2345430758154</c:v>
                </c:pt>
                <c:pt idx="77">
                  <c:v>23.2309629468616</c:v>
                </c:pt>
                <c:pt idx="78">
                  <c:v>23.2273807086864</c:v>
                </c:pt>
                <c:pt idx="79">
                  <c:v>23.2237963674278</c:v>
                </c:pt>
                <c:pt idx="80">
                  <c:v>23.2202099292274</c:v>
                </c:pt>
                <c:pt idx="81">
                  <c:v>23.2166214002307</c:v>
                </c:pt>
                <c:pt idx="82">
                  <c:v>23.2130307865863</c:v>
                </c:pt>
                <c:pt idx="83">
                  <c:v>23.2094380944467</c:v>
                </c:pt>
                <c:pt idx="84">
                  <c:v>23.2058433299679</c:v>
                </c:pt>
                <c:pt idx="85">
                  <c:v>23.2022464993095</c:v>
                </c:pt>
                <c:pt idx="86">
                  <c:v>23.1986476086344</c:v>
                </c:pt>
                <c:pt idx="87">
                  <c:v>23.1950466641093</c:v>
                </c:pt>
                <c:pt idx="88">
                  <c:v>23.1914436719044</c:v>
                </c:pt>
                <c:pt idx="89">
                  <c:v>23.1878386381932</c:v>
                </c:pt>
                <c:pt idx="90">
                  <c:v>23.1842315691528</c:v>
                </c:pt>
                <c:pt idx="91">
                  <c:v>23.180622470964</c:v>
                </c:pt>
                <c:pt idx="92">
                  <c:v>23.1770113498107</c:v>
                </c:pt>
                <c:pt idx="93">
                  <c:v>23.1733982118806</c:v>
                </c:pt>
                <c:pt idx="94">
                  <c:v>23.1697830633646</c:v>
                </c:pt>
                <c:pt idx="95">
                  <c:v>23.1661659104572</c:v>
                </c:pt>
                <c:pt idx="96">
                  <c:v>23.1625467593564</c:v>
                </c:pt>
                <c:pt idx="97">
                  <c:v>23.1589256162633</c:v>
                </c:pt>
                <c:pt idx="98">
                  <c:v>23.1553024873828</c:v>
                </c:pt>
                <c:pt idx="99">
                  <c:v>23.151677378923</c:v>
                </c:pt>
                <c:pt idx="100">
                  <c:v>23.1480502970953</c:v>
                </c:pt>
                <c:pt idx="101">
                  <c:v>23.1444212481148</c:v>
                </c:pt>
                <c:pt idx="102">
                  <c:v>23.1407902381997</c:v>
                </c:pt>
                <c:pt idx="103">
                  <c:v>23.1371572735716</c:v>
                </c:pt>
                <c:pt idx="104">
                  <c:v>23.1335223604555</c:v>
                </c:pt>
                <c:pt idx="105">
                  <c:v>23.1298855050797</c:v>
                </c:pt>
                <c:pt idx="106">
                  <c:v>23.1262467136759</c:v>
                </c:pt>
                <c:pt idx="107">
                  <c:v>23.1226059924791</c:v>
                </c:pt>
                <c:pt idx="108">
                  <c:v>23.1189633477275</c:v>
                </c:pt>
                <c:pt idx="109">
                  <c:v>23.1153187856627</c:v>
                </c:pt>
                <c:pt idx="110">
                  <c:v>23.1116723125296</c:v>
                </c:pt>
                <c:pt idx="111">
                  <c:v>23.1080239345762</c:v>
                </c:pt>
                <c:pt idx="112">
                  <c:v>23.1043736580541</c:v>
                </c:pt>
                <c:pt idx="113">
                  <c:v>23.1007214892178</c:v>
                </c:pt>
                <c:pt idx="114">
                  <c:v>23.0970674343252</c:v>
                </c:pt>
                <c:pt idx="115">
                  <c:v>23.0934114996375</c:v>
                </c:pt>
                <c:pt idx="116">
                  <c:v>23.089753691419</c:v>
                </c:pt>
                <c:pt idx="117">
                  <c:v>23.0860940159372</c:v>
                </c:pt>
                <c:pt idx="118">
                  <c:v>23.082432479463</c:v>
                </c:pt>
                <c:pt idx="119">
                  <c:v>23.0787690882702</c:v>
                </c:pt>
                <c:pt idx="120">
                  <c:v>23.075103848636</c:v>
                </c:pt>
                <c:pt idx="121">
                  <c:v>23.0714367668406</c:v>
                </c:pt>
                <c:pt idx="122">
                  <c:v>23.0677678491675</c:v>
                </c:pt>
                <c:pt idx="123">
                  <c:v>23.0640971019034</c:v>
                </c:pt>
                <c:pt idx="124">
                  <c:v>23.0604245313378</c:v>
                </c:pt>
                <c:pt idx="125">
                  <c:v>23.0567501437638</c:v>
                </c:pt>
                <c:pt idx="126">
                  <c:v>23.0530739454771</c:v>
                </c:pt>
                <c:pt idx="127">
                  <c:v>23.049395942777</c:v>
                </c:pt>
                <c:pt idx="128">
                  <c:v>23.0457161419655</c:v>
                </c:pt>
                <c:pt idx="129">
                  <c:v>23.0420345493479</c:v>
                </c:pt>
                <c:pt idx="130">
                  <c:v>23.0383511712326</c:v>
                </c:pt>
                <c:pt idx="131">
                  <c:v>23.0346660139307</c:v>
                </c:pt>
                <c:pt idx="132">
                  <c:v>23.0309790837569</c:v>
                </c:pt>
                <c:pt idx="133">
                  <c:v>23.0272903870285</c:v>
                </c:pt>
                <c:pt idx="134">
                  <c:v>23.0235999300661</c:v>
                </c:pt>
                <c:pt idx="135">
                  <c:v>23.0199077191931</c:v>
                </c:pt>
                <c:pt idx="136">
                  <c:v>23.016213760736</c:v>
                </c:pt>
                <c:pt idx="137">
                  <c:v>23.0125180610243</c:v>
                </c:pt>
                <c:pt idx="138">
                  <c:v>23.0088206263905</c:v>
                </c:pt>
                <c:pt idx="139">
                  <c:v>23.00512146317</c:v>
                </c:pt>
                <c:pt idx="140">
                  <c:v>23.0014205777014</c:v>
                </c:pt>
                <c:pt idx="141">
                  <c:v>22.9977179763259</c:v>
                </c:pt>
                <c:pt idx="142">
                  <c:v>22.9940136653878</c:v>
                </c:pt>
                <c:pt idx="143">
                  <c:v>22.9903076512344</c:v>
                </c:pt>
                <c:pt idx="144">
                  <c:v>22.9865999402158</c:v>
                </c:pt>
                <c:pt idx="145">
                  <c:v>22.9828905386852</c:v>
                </c:pt>
                <c:pt idx="146">
                  <c:v>22.9791794529983</c:v>
                </c:pt>
                <c:pt idx="147">
                  <c:v>22.9754666895142</c:v>
                </c:pt>
                <c:pt idx="148">
                  <c:v>22.9717522545945</c:v>
                </c:pt>
                <c:pt idx="149">
                  <c:v>22.9680361546038</c:v>
                </c:pt>
                <c:pt idx="150">
                  <c:v>22.9643183959096</c:v>
                </c:pt>
                <c:pt idx="151">
                  <c:v>22.960598984882</c:v>
                </c:pt>
                <c:pt idx="152">
                  <c:v>22.9568779278943</c:v>
                </c:pt>
                <c:pt idx="153">
                  <c:v>22.9531552313223</c:v>
                </c:pt>
                <c:pt idx="154">
                  <c:v>22.9494309015448</c:v>
                </c:pt>
                <c:pt idx="155">
                  <c:v>22.9457049449434</c:v>
                </c:pt>
                <c:pt idx="156">
                  <c:v>22.9419773679023</c:v>
                </c:pt>
                <c:pt idx="157">
                  <c:v>22.9382481768087</c:v>
                </c:pt>
                <c:pt idx="158">
                  <c:v>22.9345173780524</c:v>
                </c:pt>
                <c:pt idx="159">
                  <c:v>22.930784978026</c:v>
                </c:pt>
                <c:pt idx="160">
                  <c:v>22.9270509831249</c:v>
                </c:pt>
                <c:pt idx="161">
                  <c:v>22.9233153997473</c:v>
                </c:pt>
                <c:pt idx="162">
                  <c:v>22.9195782342939</c:v>
                </c:pt>
                <c:pt idx="163">
                  <c:v>22.9158394931682</c:v>
                </c:pt>
                <c:pt idx="164">
                  <c:v>22.9120991827766</c:v>
                </c:pt>
                <c:pt idx="165">
                  <c:v>22.9083573095278</c:v>
                </c:pt>
                <c:pt idx="166">
                  <c:v>22.9046138798336</c:v>
                </c:pt>
                <c:pt idx="167">
                  <c:v>22.9008689001081</c:v>
                </c:pt>
                <c:pt idx="168">
                  <c:v>22.8971223767684</c:v>
                </c:pt>
                <c:pt idx="169">
                  <c:v>22.8933743162339</c:v>
                </c:pt>
                <c:pt idx="170">
                  <c:v>22.8896247249268</c:v>
                </c:pt>
                <c:pt idx="171">
                  <c:v>22.885873609272</c:v>
                </c:pt>
                <c:pt idx="172">
                  <c:v>22.882120975697</c:v>
                </c:pt>
                <c:pt idx="173">
                  <c:v>22.8783668306317</c:v>
                </c:pt>
                <c:pt idx="174">
                  <c:v>22.8746111805088</c:v>
                </c:pt>
                <c:pt idx="175">
                  <c:v>22.8708540317635</c:v>
                </c:pt>
                <c:pt idx="176">
                  <c:v>22.8670953908335</c:v>
                </c:pt>
                <c:pt idx="177">
                  <c:v>22.8633352641592</c:v>
                </c:pt>
                <c:pt idx="178">
                  <c:v>22.8595736581835</c:v>
                </c:pt>
                <c:pt idx="179">
                  <c:v>22.8558105793517</c:v>
                </c:pt>
                <c:pt idx="180">
                  <c:v>22.8520460341119</c:v>
                </c:pt>
                <c:pt idx="181">
                  <c:v>22.8482800289144</c:v>
                </c:pt>
                <c:pt idx="182">
                  <c:v>22.8445125702121</c:v>
                </c:pt>
                <c:pt idx="183">
                  <c:v>22.8407436644606</c:v>
                </c:pt>
                <c:pt idx="184">
                  <c:v>22.8369733181178</c:v>
                </c:pt>
                <c:pt idx="185">
                  <c:v>22.833201537644</c:v>
                </c:pt>
                <c:pt idx="186">
                  <c:v>22.8294283295021</c:v>
                </c:pt>
                <c:pt idx="187">
                  <c:v>22.8256537001573</c:v>
                </c:pt>
                <c:pt idx="188">
                  <c:v>22.8218776560774</c:v>
                </c:pt>
                <c:pt idx="189">
                  <c:v>22.8181002037326</c:v>
                </c:pt>
                <c:pt idx="190">
                  <c:v>22.8143213495953</c:v>
                </c:pt>
                <c:pt idx="191">
                  <c:v>22.8105411001407</c:v>
                </c:pt>
                <c:pt idx="192">
                  <c:v>22.8067594618459</c:v>
                </c:pt>
                <c:pt idx="193">
                  <c:v>22.8029764411908</c:v>
                </c:pt>
                <c:pt idx="194">
                  <c:v>22.7991920446575</c:v>
                </c:pt>
                <c:pt idx="195">
                  <c:v>22.7954062787303</c:v>
                </c:pt>
                <c:pt idx="196">
                  <c:v>22.7916191498962</c:v>
                </c:pt>
                <c:pt idx="197">
                  <c:v>22.7878306646443</c:v>
                </c:pt>
                <c:pt idx="198">
                  <c:v>22.784040829466</c:v>
                </c:pt>
                <c:pt idx="199">
                  <c:v>22.7802496508551</c:v>
                </c:pt>
                <c:pt idx="200">
                  <c:v>22.7764571353077</c:v>
                </c:pt>
              </c:numCache>
            </c:numRef>
          </c:yVal>
          <c:smooth val="1"/>
        </c:ser>
        <c:ser>
          <c:idx val="20"/>
          <c:order val="20"/>
          <c:tx>
            <c:strRef>
              <c:f>试加重示意图!$L$10019</c:f>
              <c:strCache>
                <c:ptCount val="1"/>
                <c:pt idx="0">
                  <c:v>15°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/>
              </c:ext>
            </c:extLst>
          </c:dLbls>
          <c:xVal>
            <c:numRef>
              <c:f>试加重示意图!$G$10411</c:f>
              <c:numCache>
                <c:formatCode>General</c:formatCode>
                <c:ptCount val="1"/>
                <c:pt idx="0">
                  <c:v>17.8425421036992</c:v>
                </c:pt>
              </c:numCache>
            </c:numRef>
          </c:xVal>
          <c:yVal>
            <c:numRef>
              <c:f>试加重示意图!$H$10411</c:f>
              <c:numCache>
                <c:formatCode>General</c:formatCode>
                <c:ptCount val="1"/>
                <c:pt idx="0">
                  <c:v>23.722075445643</c:v>
                </c:pt>
              </c:numCache>
            </c:numRef>
          </c:yVal>
          <c:smooth val="1"/>
        </c:ser>
        <c:ser>
          <c:idx val="21"/>
          <c:order val="21"/>
          <c:tx>
            <c:strRef>
              <c:f>"Ay矢量"</c:f>
              <c:strCache>
                <c:ptCount val="1"/>
                <c:pt idx="0">
                  <c:v>Ay矢量</c:v>
                </c:pt>
              </c:strCache>
            </c:strRef>
          </c:tx>
          <c:spPr>
            <a:ln w="28575" cap="rnd" cmpd="sng" algn="ctr">
              <a:solidFill>
                <a:srgbClr val="00B05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试加重示意图!$D$10107:$D$10108</c:f>
              <c:numCache>
                <c:formatCode>General</c:formatCode>
                <c:ptCount val="2"/>
                <c:pt idx="0">
                  <c:v>22</c:v>
                </c:pt>
                <c:pt idx="1">
                  <c:v>7.51111260566398</c:v>
                </c:pt>
              </c:numCache>
            </c:numRef>
          </c:xVal>
          <c:yVal>
            <c:numRef>
              <c:f>试加重示意图!$E$10107:$E$10108</c:f>
              <c:numCache>
                <c:formatCode>General</c:formatCode>
                <c:ptCount val="2"/>
                <c:pt idx="0">
                  <c:v>22</c:v>
                </c:pt>
                <c:pt idx="1">
                  <c:v>25.8822856765378</c:v>
                </c:pt>
              </c:numCache>
            </c:numRef>
          </c:yVal>
          <c:smooth val="1"/>
        </c:ser>
        <c:ser>
          <c:idx val="22"/>
          <c:order val="22"/>
          <c:tx>
            <c:strRef>
              <c:f>"Ay矢量箭头"</c:f>
              <c:strCache>
                <c:ptCount val="1"/>
                <c:pt idx="0">
                  <c:v>Ay矢量箭头</c:v>
                </c:pt>
              </c:strCache>
            </c:strRef>
          </c:tx>
          <c:spPr>
            <a:ln w="28575" cap="rnd" cmpd="sng" algn="ctr">
              <a:solidFill>
                <a:srgbClr val="00B050"/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试加重示意图!$D$10109:$D$10111</c:f>
              <c:numCache>
                <c:formatCode>General</c:formatCode>
                <c:ptCount val="3"/>
                <c:pt idx="0">
                  <c:v>8.01111260566398</c:v>
                </c:pt>
                <c:pt idx="1">
                  <c:v>7.51111260566398</c:v>
                </c:pt>
                <c:pt idx="2">
                  <c:v>8.37713800944842</c:v>
                </c:pt>
              </c:numCache>
            </c:numRef>
          </c:xVal>
          <c:yVal>
            <c:numRef>
              <c:f>试加重示意图!$E$10109:$E$10111</c:f>
              <c:numCache>
                <c:formatCode>General</c:formatCode>
                <c:ptCount val="3"/>
                <c:pt idx="0">
                  <c:v>25.0162602727534</c:v>
                </c:pt>
                <c:pt idx="1">
                  <c:v>25.8822856765378</c:v>
                </c:pt>
                <c:pt idx="2">
                  <c:v>26.3822856765378</c:v>
                </c:pt>
              </c:numCache>
            </c:numRef>
          </c:yVal>
          <c:smooth val="0"/>
        </c:ser>
        <c:ser>
          <c:idx val="23"/>
          <c:order val="23"/>
          <c:tx>
            <c:strRef>
              <c:f>试加重示意图!$L$10022</c:f>
              <c:strCache>
                <c:ptCount val="1"/>
                <c:pt idx="0">
                  <c:v/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/>
              </c:ext>
            </c:extLst>
          </c:dLbls>
          <c:xVal>
            <c:numRef>
              <c:f>试加重示意图!$D$10112</c:f>
              <c:numCache>
                <c:formatCode>General</c:formatCode>
                <c:ptCount val="1"/>
                <c:pt idx="0">
                  <c:v>5.33777949651357</c:v>
                </c:pt>
              </c:numCache>
            </c:numRef>
          </c:xVal>
          <c:yVal>
            <c:numRef>
              <c:f>试加重示意图!$E$10112</c:f>
              <c:numCache>
                <c:formatCode>General</c:formatCode>
                <c:ptCount val="1"/>
                <c:pt idx="0">
                  <c:v>26.4646285280185</c:v>
                </c:pt>
              </c:numCache>
            </c:numRef>
          </c:yVal>
          <c:smooth val="1"/>
        </c:ser>
        <c:ser>
          <c:idx val="24"/>
          <c:order val="24"/>
          <c:tx>
            <c:strRef>
              <c:f>"Py矢量"</c:f>
              <c:strCache>
                <c:ptCount val="1"/>
                <c:pt idx="0">
                  <c:v>Py矢量</c:v>
                </c:pt>
              </c:strCache>
            </c:strRef>
          </c:tx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8575" cap="rnd" cmpd="sng" algn="ctr">
                <a:solidFill>
                  <a:schemeClr val="tx2">
                    <a:lumMod val="75000"/>
                  </a:schemeClr>
                </a:solidFill>
                <a:prstDash val="solid"/>
                <a:round/>
              </a:ln>
            </c:spPr>
          </c:dPt>
          <c:dLbls>
            <c:delete val="1"/>
          </c:dLbls>
          <c:xVal>
            <c:numRef>
              <c:f>试加重示意图!$D$10113:$D$10114</c:f>
              <c:numCache>
                <c:formatCode>General</c:formatCode>
                <c:ptCount val="2"/>
                <c:pt idx="0">
                  <c:v>22</c:v>
                </c:pt>
                <c:pt idx="1">
                  <c:v>9.00961894323342</c:v>
                </c:pt>
              </c:numCache>
            </c:numRef>
          </c:xVal>
          <c:yVal>
            <c:numRef>
              <c:f>试加重示意图!$E$10113:$E$10114</c:f>
              <c:numCache>
                <c:formatCode>General</c:formatCode>
                <c:ptCount val="2"/>
                <c:pt idx="0">
                  <c:v>22</c:v>
                </c:pt>
                <c:pt idx="1">
                  <c:v>29.5</c:v>
                </c:pt>
              </c:numCache>
            </c:numRef>
          </c:yVal>
          <c:smooth val="1"/>
        </c:ser>
        <c:ser>
          <c:idx val="25"/>
          <c:order val="25"/>
          <c:tx>
            <c:strRef>
              <c:f>"Py矢量箭头"</c:f>
              <c:strCache>
                <c:ptCount val="1"/>
                <c:pt idx="0">
                  <c:v>Py矢量箭头</c:v>
                </c:pt>
              </c:strCache>
            </c:strRef>
          </c:tx>
          <c:spPr>
            <a:ln w="28575" cap="rnd" cmpd="sng" algn="ctr">
              <a:solidFill>
                <a:schemeClr val="tx2">
                  <a:lumMod val="75000"/>
                </a:schemeClr>
              </a:solidFill>
              <a:prstDash val="solid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试加重示意图!$D$10115:$D$10117</c:f>
              <c:numCache>
                <c:formatCode>General</c:formatCode>
                <c:ptCount val="3"/>
                <c:pt idx="0">
                  <c:v>9.26843798833594</c:v>
                </c:pt>
                <c:pt idx="1">
                  <c:v>9.00961894323342</c:v>
                </c:pt>
                <c:pt idx="2">
                  <c:v>9.97554476952249</c:v>
                </c:pt>
              </c:numCache>
            </c:numRef>
          </c:xVal>
          <c:yVal>
            <c:numRef>
              <c:f>试加重示意图!$E$10115:$E$10117</c:f>
              <c:numCache>
                <c:formatCode>General</c:formatCode>
                <c:ptCount val="3"/>
                <c:pt idx="0">
                  <c:v>28.5340741737109</c:v>
                </c:pt>
                <c:pt idx="1">
                  <c:v>29.5</c:v>
                </c:pt>
                <c:pt idx="2">
                  <c:v>29.7588190451025</c:v>
                </c:pt>
              </c:numCache>
            </c:numRef>
          </c:yVal>
          <c:smooth val="0"/>
        </c:ser>
        <c:ser>
          <c:idx val="26"/>
          <c:order val="26"/>
          <c:tx>
            <c:strRef>
              <c:f>试加重示意图!$L$10021</c:f>
              <c:strCache>
                <c:ptCount val="1"/>
                <c:pt idx="0">
                  <c:v/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/>
              </c:ext>
            </c:extLst>
          </c:dLbls>
          <c:xVal>
            <c:numRef>
              <c:f>试加重示意图!$D$10118</c:f>
              <c:numCache>
                <c:formatCode>General</c:formatCode>
                <c:ptCount val="1"/>
                <c:pt idx="0">
                  <c:v>7.06106178471843</c:v>
                </c:pt>
              </c:numCache>
            </c:numRef>
          </c:xVal>
          <c:yVal>
            <c:numRef>
              <c:f>试加重示意图!$E$10118</c:f>
              <c:numCache>
                <c:formatCode>General</c:formatCode>
                <c:ptCount val="1"/>
                <c:pt idx="0">
                  <c:v>30.625</c:v>
                </c:pt>
              </c:numCache>
            </c:numRef>
          </c:yVal>
          <c:smooth val="1"/>
        </c:ser>
        <c:ser>
          <c:idx val="27"/>
          <c:order val="27"/>
          <c:tx>
            <c:strRef>
              <c:f>"Py夹角"</c:f>
              <c:strCache>
                <c:ptCount val="1"/>
                <c:pt idx="0">
                  <c:v>Py夹角</c:v>
                </c:pt>
              </c:strCache>
            </c:strRef>
          </c:tx>
          <c:spPr>
            <a:ln w="19050" cap="rnd" cmpd="sng" algn="ctr">
              <a:solidFill>
                <a:schemeClr val="accent4">
                  <a:tint val="70000"/>
                  <a:shade val="95000"/>
                  <a:satMod val="105000"/>
                </a:schemeClr>
              </a:solidFill>
              <a:prstDash val="sysDash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试加重示意图!$J$10004:$J$10204</c:f>
              <c:numCache>
                <c:formatCode>General</c:formatCode>
                <c:ptCount val="201"/>
                <c:pt idx="0">
                  <c:v>24.25</c:v>
                </c:pt>
                <c:pt idx="1">
                  <c:v>24.2498072370415</c:v>
                </c:pt>
                <c:pt idx="2">
                  <c:v>24.249228981195</c:v>
                </c:pt>
                <c:pt idx="3">
                  <c:v>24.2482653315416</c:v>
                </c:pt>
                <c:pt idx="4">
                  <c:v>24.2469164531978</c:v>
                </c:pt>
                <c:pt idx="5">
                  <c:v>24.2451825772869</c:v>
                </c:pt>
                <c:pt idx="6">
                  <c:v>24.2430640008995</c:v>
                </c:pt>
                <c:pt idx="7">
                  <c:v>24.240561087043</c:v>
                </c:pt>
                <c:pt idx="8">
                  <c:v>24.2376742645786</c:v>
                </c:pt>
                <c:pt idx="9">
                  <c:v>24.2344040281486</c:v>
                </c:pt>
                <c:pt idx="10">
                  <c:v>24.2307509380911</c:v>
                </c:pt>
                <c:pt idx="11">
                  <c:v>24.2267156203443</c:v>
                </c:pt>
                <c:pt idx="12">
                  <c:v>24.2222987663391</c:v>
                </c:pt>
                <c:pt idx="13">
                  <c:v>24.2175011328807</c:v>
                </c:pt>
                <c:pt idx="14">
                  <c:v>24.2123235420189</c:v>
                </c:pt>
                <c:pt idx="15">
                  <c:v>24.2067668809073</c:v>
                </c:pt>
                <c:pt idx="16">
                  <c:v>24.2008321016511</c:v>
                </c:pt>
                <c:pt idx="17">
                  <c:v>24.1945202211442</c:v>
                </c:pt>
                <c:pt idx="18">
                  <c:v>24.1878323208948</c:v>
                </c:pt>
                <c:pt idx="19">
                  <c:v>24.1807695468402</c:v>
                </c:pt>
                <c:pt idx="20">
                  <c:v>24.1733331091504</c:v>
                </c:pt>
                <c:pt idx="21">
                  <c:v>24.1655242820207</c:v>
                </c:pt>
                <c:pt idx="22">
                  <c:v>24.1573444034534</c:v>
                </c:pt>
                <c:pt idx="23">
                  <c:v>24.1487948750287</c:v>
                </c:pt>
                <c:pt idx="24">
                  <c:v>24.1398771616641</c:v>
                </c:pt>
                <c:pt idx="25">
                  <c:v>24.130592791364</c:v>
                </c:pt>
                <c:pt idx="26">
                  <c:v>24.1209433549574</c:v>
                </c:pt>
                <c:pt idx="27">
                  <c:v>24.1109305058256</c:v>
                </c:pt>
                <c:pt idx="28">
                  <c:v>24.1005559596187</c:v>
                </c:pt>
                <c:pt idx="29">
                  <c:v>24.0898214939618</c:v>
                </c:pt>
                <c:pt idx="30">
                  <c:v>24.0787289481504</c:v>
                </c:pt>
                <c:pt idx="31">
                  <c:v>24.067280222835</c:v>
                </c:pt>
                <c:pt idx="32">
                  <c:v>24.0554772796959</c:v>
                </c:pt>
                <c:pt idx="33">
                  <c:v>24.0433221411064</c:v>
                </c:pt>
                <c:pt idx="34">
                  <c:v>24.0308168897872</c:v>
                </c:pt>
                <c:pt idx="35">
                  <c:v>24.0179636684485</c:v>
                </c:pt>
                <c:pt idx="36">
                  <c:v>24.0047646794238</c:v>
                </c:pt>
                <c:pt idx="37">
                  <c:v>23.9912221842918</c:v>
                </c:pt>
                <c:pt idx="38">
                  <c:v>23.9773385034894</c:v>
                </c:pt>
                <c:pt idx="39">
                  <c:v>23.9631160159138</c:v>
                </c:pt>
                <c:pt idx="40">
                  <c:v>23.948557158515</c:v>
                </c:pt>
                <c:pt idx="41">
                  <c:v>23.9336644258783</c:v>
                </c:pt>
                <c:pt idx="42">
                  <c:v>23.9184403697967</c:v>
                </c:pt>
                <c:pt idx="43">
                  <c:v>23.9028875988339</c:v>
                </c:pt>
                <c:pt idx="44">
                  <c:v>23.8870087778772</c:v>
                </c:pt>
                <c:pt idx="45">
                  <c:v>23.8708066276807</c:v>
                </c:pt>
                <c:pt idx="46">
                  <c:v>23.8542839243995</c:v>
                </c:pt>
                <c:pt idx="47">
                  <c:v>23.8374434991138</c:v>
                </c:pt>
                <c:pt idx="48">
                  <c:v>23.8202882373436</c:v>
                </c:pt>
                <c:pt idx="49">
                  <c:v>23.8028210785549</c:v>
                </c:pt>
                <c:pt idx="50">
                  <c:v>23.7850450156553</c:v>
                </c:pt>
                <c:pt idx="51">
                  <c:v>23.7669630944817</c:v>
                </c:pt>
                <c:pt idx="52">
                  <c:v>23.7485784132782</c:v>
                </c:pt>
                <c:pt idx="53">
                  <c:v>23.7298941221653</c:v>
                </c:pt>
                <c:pt idx="54">
                  <c:v>23.7109134226001</c:v>
                </c:pt>
                <c:pt idx="55">
                  <c:v>23.6916395668277</c:v>
                </c:pt>
                <c:pt idx="56">
                  <c:v>23.6720758573241</c:v>
                </c:pt>
                <c:pt idx="57">
                  <c:v>23.6522256462303</c:v>
                </c:pt>
                <c:pt idx="58">
                  <c:v>23.6320923347776</c:v>
                </c:pt>
                <c:pt idx="59">
                  <c:v>23.6116793727055</c:v>
                </c:pt>
                <c:pt idx="60">
                  <c:v>23.5909902576697</c:v>
                </c:pt>
                <c:pt idx="61">
                  <c:v>23.5700285346438</c:v>
                </c:pt>
                <c:pt idx="62">
                  <c:v>23.5487977953109</c:v>
                </c:pt>
                <c:pt idx="63">
                  <c:v>23.5273016774491</c:v>
                </c:pt>
                <c:pt idx="64">
                  <c:v>23.5055438643074</c:v>
                </c:pt>
                <c:pt idx="65">
                  <c:v>23.4835280839752</c:v>
                </c:pt>
                <c:pt idx="66">
                  <c:v>23.4612581087429</c:v>
                </c:pt>
                <c:pt idx="67">
                  <c:v>23.4387377544563</c:v>
                </c:pt>
                <c:pt idx="68">
                  <c:v>23.4159708798621</c:v>
                </c:pt>
                <c:pt idx="69">
                  <c:v>23.3929613859471</c:v>
                </c:pt>
                <c:pt idx="70">
                  <c:v>23.3697132152696</c:v>
                </c:pt>
                <c:pt idx="71">
                  <c:v>23.346230351284</c:v>
                </c:pt>
                <c:pt idx="72">
                  <c:v>23.3225168176581</c:v>
                </c:pt>
                <c:pt idx="73">
                  <c:v>23.2985766775838</c:v>
                </c:pt>
                <c:pt idx="74">
                  <c:v>23.2744140330809</c:v>
                </c:pt>
                <c:pt idx="75">
                  <c:v>23.2500330242941</c:v>
                </c:pt>
                <c:pt idx="76">
                  <c:v>23.2254378287838</c:v>
                </c:pt>
                <c:pt idx="77">
                  <c:v>23.2006326608101</c:v>
                </c:pt>
                <c:pt idx="78">
                  <c:v>23.1756217706109</c:v>
                </c:pt>
                <c:pt idx="79">
                  <c:v>23.1504094436734</c:v>
                </c:pt>
                <c:pt idx="80">
                  <c:v>23.125</c:v>
                </c:pt>
                <c:pt idx="81">
                  <c:v>23.0993977933681</c:v>
                </c:pt>
                <c:pt idx="82">
                  <c:v>23.0736072105841</c:v>
                </c:pt>
                <c:pt idx="83">
                  <c:v>23.0476326707315</c:v>
                </c:pt>
                <c:pt idx="84">
                  <c:v>23.021478624414</c:v>
                </c:pt>
                <c:pt idx="85">
                  <c:v>22.9951495529928</c:v>
                </c:pt>
                <c:pt idx="86">
                  <c:v>22.9686499678187</c:v>
                </c:pt>
                <c:pt idx="87">
                  <c:v>22.9419844094592</c:v>
                </c:pt>
                <c:pt idx="88">
                  <c:v>22.9151574469205</c:v>
                </c:pt>
                <c:pt idx="89">
                  <c:v>22.8881736768646</c:v>
                </c:pt>
                <c:pt idx="90">
                  <c:v>22.8610377228215</c:v>
                </c:pt>
                <c:pt idx="91">
                  <c:v>22.8337542343971</c:v>
                </c:pt>
                <c:pt idx="92">
                  <c:v>22.8063278864769</c:v>
                </c:pt>
                <c:pt idx="93">
                  <c:v>22.7787633784244</c:v>
                </c:pt>
                <c:pt idx="94">
                  <c:v>22.751065433276</c:v>
                </c:pt>
                <c:pt idx="95">
                  <c:v>22.7232387969321</c:v>
                </c:pt>
                <c:pt idx="96">
                  <c:v>22.6952882373436</c:v>
                </c:pt>
                <c:pt idx="97">
                  <c:v>22.667218543695</c:v>
                </c:pt>
                <c:pt idx="98">
                  <c:v>22.6390345255838</c:v>
                </c:pt>
                <c:pt idx="99">
                  <c:v>22.6107410121964</c:v>
                </c:pt>
                <c:pt idx="100">
                  <c:v>22.5823428514807</c:v>
                </c:pt>
                <c:pt idx="101">
                  <c:v>22.5538449093152</c:v>
                </c:pt>
                <c:pt idx="102">
                  <c:v>22.5252520686758</c:v>
                </c:pt>
                <c:pt idx="103">
                  <c:v>22.4965692287984</c:v>
                </c:pt>
                <c:pt idx="104">
                  <c:v>22.46780130434</c:v>
                </c:pt>
                <c:pt idx="105">
                  <c:v>22.4389532245363</c:v>
                </c:pt>
                <c:pt idx="106">
                  <c:v>22.4100299323573</c:v>
                </c:pt>
                <c:pt idx="107">
                  <c:v>22.3810363836603</c:v>
                </c:pt>
                <c:pt idx="108">
                  <c:v>22.3519775463405</c:v>
                </c:pt>
                <c:pt idx="109">
                  <c:v>22.3228583994802</c:v>
                </c:pt>
                <c:pt idx="110">
                  <c:v>22.2936839324951</c:v>
                </c:pt>
                <c:pt idx="111">
                  <c:v>22.2644591442801</c:v>
                </c:pt>
                <c:pt idx="112">
                  <c:v>22.2351890423522</c:v>
                </c:pt>
                <c:pt idx="113">
                  <c:v>22.2058786419927</c:v>
                </c:pt>
                <c:pt idx="114">
                  <c:v>22.1765329653877</c:v>
                </c:pt>
                <c:pt idx="115">
                  <c:v>22.1471570407678</c:v>
                </c:pt>
                <c:pt idx="116">
                  <c:v>22.1177559015466</c:v>
                </c:pt>
                <c:pt idx="117">
                  <c:v>22.0883345854579</c:v>
                </c:pt>
                <c:pt idx="118">
                  <c:v>22.0588981336927</c:v>
                </c:pt>
                <c:pt idx="119">
                  <c:v>22.0294515900355</c:v>
                </c:pt>
                <c:pt idx="120">
                  <c:v>22</c:v>
                </c:pt>
                <c:pt idx="121">
                  <c:v>21.9705484099645</c:v>
                </c:pt>
                <c:pt idx="122">
                  <c:v>21.9411018663073</c:v>
                </c:pt>
                <c:pt idx="123">
                  <c:v>21.9116654145421</c:v>
                </c:pt>
                <c:pt idx="124">
                  <c:v>21.8822440984534</c:v>
                </c:pt>
                <c:pt idx="125">
                  <c:v>21.8528429592322</c:v>
                </c:pt>
                <c:pt idx="126">
                  <c:v>21.8234670346123</c:v>
                </c:pt>
                <c:pt idx="127">
                  <c:v>21.7941213580073</c:v>
                </c:pt>
                <c:pt idx="128">
                  <c:v>21.7648109576478</c:v>
                </c:pt>
                <c:pt idx="129">
                  <c:v>21.7355408557199</c:v>
                </c:pt>
                <c:pt idx="130">
                  <c:v>21.7063160675049</c:v>
                </c:pt>
                <c:pt idx="131">
                  <c:v>21.6771416005198</c:v>
                </c:pt>
                <c:pt idx="132">
                  <c:v>21.6480224536595</c:v>
                </c:pt>
                <c:pt idx="133">
                  <c:v>21.6189636163397</c:v>
                </c:pt>
                <c:pt idx="134">
                  <c:v>21.5899700676427</c:v>
                </c:pt>
                <c:pt idx="135">
                  <c:v>21.5610467754637</c:v>
                </c:pt>
                <c:pt idx="136">
                  <c:v>21.53219869566</c:v>
                </c:pt>
                <c:pt idx="137">
                  <c:v>21.5034307712016</c:v>
                </c:pt>
                <c:pt idx="138">
                  <c:v>21.4747479313242</c:v>
                </c:pt>
                <c:pt idx="139">
                  <c:v>21.4461550906848</c:v>
                </c:pt>
                <c:pt idx="140">
                  <c:v>21.4176571485193</c:v>
                </c:pt>
                <c:pt idx="141">
                  <c:v>21.3892589878036</c:v>
                </c:pt>
                <c:pt idx="142">
                  <c:v>21.3609654744162</c:v>
                </c:pt>
                <c:pt idx="143">
                  <c:v>21.332781456305</c:v>
                </c:pt>
                <c:pt idx="144">
                  <c:v>21.3047117626564</c:v>
                </c:pt>
                <c:pt idx="145">
                  <c:v>21.2767612030679</c:v>
                </c:pt>
                <c:pt idx="146">
                  <c:v>21.248934566724</c:v>
                </c:pt>
                <c:pt idx="147">
                  <c:v>21.2212366215756</c:v>
                </c:pt>
                <c:pt idx="148">
                  <c:v>21.1936721135231</c:v>
                </c:pt>
                <c:pt idx="149">
                  <c:v>21.1662457656029</c:v>
                </c:pt>
                <c:pt idx="150">
                  <c:v>21.1389622771785</c:v>
                </c:pt>
                <c:pt idx="151">
                  <c:v>21.1118263231354</c:v>
                </c:pt>
                <c:pt idx="152">
                  <c:v>21.0848425530795</c:v>
                </c:pt>
                <c:pt idx="153">
                  <c:v>21.0580155905408</c:v>
                </c:pt>
                <c:pt idx="154">
                  <c:v>21.0313500321813</c:v>
                </c:pt>
                <c:pt idx="155">
                  <c:v>21.0048504470072</c:v>
                </c:pt>
                <c:pt idx="156">
                  <c:v>20.978521375586</c:v>
                </c:pt>
                <c:pt idx="157">
                  <c:v>20.9523673292685</c:v>
                </c:pt>
                <c:pt idx="158">
                  <c:v>20.9263927894159</c:v>
                </c:pt>
                <c:pt idx="159">
                  <c:v>20.9006022066319</c:v>
                </c:pt>
                <c:pt idx="160">
                  <c:v>20.875</c:v>
                </c:pt>
                <c:pt idx="161">
                  <c:v>20.8495905563266</c:v>
                </c:pt>
                <c:pt idx="162">
                  <c:v>20.8243782293891</c:v>
                </c:pt>
                <c:pt idx="163">
                  <c:v>20.7993673391899</c:v>
                </c:pt>
                <c:pt idx="164">
                  <c:v>20.7745621712162</c:v>
                </c:pt>
                <c:pt idx="165">
                  <c:v>20.7499669757059</c:v>
                </c:pt>
                <c:pt idx="166">
                  <c:v>20.7255859669191</c:v>
                </c:pt>
                <c:pt idx="167">
                  <c:v>20.7014233224162</c:v>
                </c:pt>
                <c:pt idx="168">
                  <c:v>20.6774831823419</c:v>
                </c:pt>
                <c:pt idx="169">
                  <c:v>20.653769648716</c:v>
                </c:pt>
                <c:pt idx="170">
                  <c:v>20.6302867847304</c:v>
                </c:pt>
                <c:pt idx="171">
                  <c:v>20.6070386140529</c:v>
                </c:pt>
                <c:pt idx="172">
                  <c:v>20.5840291201379</c:v>
                </c:pt>
                <c:pt idx="173">
                  <c:v>20.5612622455437</c:v>
                </c:pt>
                <c:pt idx="174">
                  <c:v>20.5387418912571</c:v>
                </c:pt>
                <c:pt idx="175">
                  <c:v>20.5164719160248</c:v>
                </c:pt>
                <c:pt idx="176">
                  <c:v>20.4944561356926</c:v>
                </c:pt>
                <c:pt idx="177">
                  <c:v>20.4726983225509</c:v>
                </c:pt>
                <c:pt idx="178">
                  <c:v>20.4512022046891</c:v>
                </c:pt>
                <c:pt idx="179">
                  <c:v>20.4299714653562</c:v>
                </c:pt>
                <c:pt idx="180">
                  <c:v>20.4090097423303</c:v>
                </c:pt>
                <c:pt idx="181">
                  <c:v>20.3883206272945</c:v>
                </c:pt>
                <c:pt idx="182">
                  <c:v>20.3679076652224</c:v>
                </c:pt>
                <c:pt idx="183">
                  <c:v>20.3477743537697</c:v>
                </c:pt>
                <c:pt idx="184">
                  <c:v>20.3279241426759</c:v>
                </c:pt>
                <c:pt idx="185">
                  <c:v>20.3083604331723</c:v>
                </c:pt>
                <c:pt idx="186">
                  <c:v>20.2890865773999</c:v>
                </c:pt>
                <c:pt idx="187">
                  <c:v>20.2701058778347</c:v>
                </c:pt>
                <c:pt idx="188">
                  <c:v>20.2514215867218</c:v>
                </c:pt>
                <c:pt idx="189">
                  <c:v>20.2330369055183</c:v>
                </c:pt>
                <c:pt idx="190">
                  <c:v>20.2149549843447</c:v>
                </c:pt>
                <c:pt idx="191">
                  <c:v>20.1971789214451</c:v>
                </c:pt>
                <c:pt idx="192">
                  <c:v>20.1797117626564</c:v>
                </c:pt>
                <c:pt idx="193">
                  <c:v>20.1625565008862</c:v>
                </c:pt>
                <c:pt idx="194">
                  <c:v>20.1457160756005</c:v>
                </c:pt>
                <c:pt idx="195">
                  <c:v>20.1291933723193</c:v>
                </c:pt>
                <c:pt idx="196">
                  <c:v>20.1129912221228</c:v>
                </c:pt>
                <c:pt idx="197">
                  <c:v>20.0971124011661</c:v>
                </c:pt>
                <c:pt idx="198">
                  <c:v>20.0815596302033</c:v>
                </c:pt>
                <c:pt idx="199">
                  <c:v>20.0663355741217</c:v>
                </c:pt>
                <c:pt idx="200">
                  <c:v>20.051442841485</c:v>
                </c:pt>
              </c:numCache>
            </c:numRef>
          </c:xVal>
          <c:yVal>
            <c:numRef>
              <c:f>试加重示意图!$K$10004:$K$10204</c:f>
              <c:numCache>
                <c:formatCode>General</c:formatCode>
                <c:ptCount val="201"/>
                <c:pt idx="0">
                  <c:v>22</c:v>
                </c:pt>
                <c:pt idx="1">
                  <c:v>22.0294515900355</c:v>
                </c:pt>
                <c:pt idx="2">
                  <c:v>22.0588981336927</c:v>
                </c:pt>
                <c:pt idx="3">
                  <c:v>22.0883345854579</c:v>
                </c:pt>
                <c:pt idx="4">
                  <c:v>22.1177559015466</c:v>
                </c:pt>
                <c:pt idx="5">
                  <c:v>22.1471570407678</c:v>
                </c:pt>
                <c:pt idx="6">
                  <c:v>22.1765329653877</c:v>
                </c:pt>
                <c:pt idx="7">
                  <c:v>22.2058786419927</c:v>
                </c:pt>
                <c:pt idx="8">
                  <c:v>22.2351890423522</c:v>
                </c:pt>
                <c:pt idx="9">
                  <c:v>22.2644591442801</c:v>
                </c:pt>
                <c:pt idx="10">
                  <c:v>22.2936839324951</c:v>
                </c:pt>
                <c:pt idx="11">
                  <c:v>22.3228583994802</c:v>
                </c:pt>
                <c:pt idx="12">
                  <c:v>22.3519775463405</c:v>
                </c:pt>
                <c:pt idx="13">
                  <c:v>22.3810363836603</c:v>
                </c:pt>
                <c:pt idx="14">
                  <c:v>22.4100299323573</c:v>
                </c:pt>
                <c:pt idx="15">
                  <c:v>22.4389532245363</c:v>
                </c:pt>
                <c:pt idx="16">
                  <c:v>22.46780130434</c:v>
                </c:pt>
                <c:pt idx="17">
                  <c:v>22.4965692287984</c:v>
                </c:pt>
                <c:pt idx="18">
                  <c:v>22.5252520686758</c:v>
                </c:pt>
                <c:pt idx="19">
                  <c:v>22.5538449093152</c:v>
                </c:pt>
                <c:pt idx="20">
                  <c:v>22.5823428514807</c:v>
                </c:pt>
                <c:pt idx="21">
                  <c:v>22.6107410121964</c:v>
                </c:pt>
                <c:pt idx="22">
                  <c:v>22.6390345255838</c:v>
                </c:pt>
                <c:pt idx="23">
                  <c:v>22.667218543695</c:v>
                </c:pt>
                <c:pt idx="24">
                  <c:v>22.6952882373436</c:v>
                </c:pt>
                <c:pt idx="25">
                  <c:v>22.7232387969321</c:v>
                </c:pt>
                <c:pt idx="26">
                  <c:v>22.751065433276</c:v>
                </c:pt>
                <c:pt idx="27">
                  <c:v>22.7787633784244</c:v>
                </c:pt>
                <c:pt idx="28">
                  <c:v>22.8063278864769</c:v>
                </c:pt>
                <c:pt idx="29">
                  <c:v>22.8337542343971</c:v>
                </c:pt>
                <c:pt idx="30">
                  <c:v>22.8610377228215</c:v>
                </c:pt>
                <c:pt idx="31">
                  <c:v>22.8881736768646</c:v>
                </c:pt>
                <c:pt idx="32">
                  <c:v>22.9151574469205</c:v>
                </c:pt>
                <c:pt idx="33">
                  <c:v>22.9419844094592</c:v>
                </c:pt>
                <c:pt idx="34">
                  <c:v>22.9686499678187</c:v>
                </c:pt>
                <c:pt idx="35">
                  <c:v>22.9951495529928</c:v>
                </c:pt>
                <c:pt idx="36">
                  <c:v>23.021478624414</c:v>
                </c:pt>
                <c:pt idx="37">
                  <c:v>23.0476326707315</c:v>
                </c:pt>
                <c:pt idx="38">
                  <c:v>23.0736072105841</c:v>
                </c:pt>
                <c:pt idx="39">
                  <c:v>23.0993977933681</c:v>
                </c:pt>
                <c:pt idx="40">
                  <c:v>23.125</c:v>
                </c:pt>
                <c:pt idx="41">
                  <c:v>23.1504094436734</c:v>
                </c:pt>
                <c:pt idx="42">
                  <c:v>23.1756217706109</c:v>
                </c:pt>
                <c:pt idx="43">
                  <c:v>23.2006326608101</c:v>
                </c:pt>
                <c:pt idx="44">
                  <c:v>23.2254378287838</c:v>
                </c:pt>
                <c:pt idx="45">
                  <c:v>23.2500330242941</c:v>
                </c:pt>
                <c:pt idx="46">
                  <c:v>23.2744140330809</c:v>
                </c:pt>
                <c:pt idx="47">
                  <c:v>23.2985766775838</c:v>
                </c:pt>
                <c:pt idx="48">
                  <c:v>23.3225168176581</c:v>
                </c:pt>
                <c:pt idx="49">
                  <c:v>23.346230351284</c:v>
                </c:pt>
                <c:pt idx="50">
                  <c:v>23.3697132152696</c:v>
                </c:pt>
                <c:pt idx="51">
                  <c:v>23.3929613859471</c:v>
                </c:pt>
                <c:pt idx="52">
                  <c:v>23.4159708798621</c:v>
                </c:pt>
                <c:pt idx="53">
                  <c:v>23.4387377544563</c:v>
                </c:pt>
                <c:pt idx="54">
                  <c:v>23.4612581087429</c:v>
                </c:pt>
                <c:pt idx="55">
                  <c:v>23.4835280839752</c:v>
                </c:pt>
                <c:pt idx="56">
                  <c:v>23.5055438643074</c:v>
                </c:pt>
                <c:pt idx="57">
                  <c:v>23.5273016774491</c:v>
                </c:pt>
                <c:pt idx="58">
                  <c:v>23.5487977953109</c:v>
                </c:pt>
                <c:pt idx="59">
                  <c:v>23.5700285346438</c:v>
                </c:pt>
                <c:pt idx="60">
                  <c:v>23.5909902576697</c:v>
                </c:pt>
                <c:pt idx="61">
                  <c:v>23.6116793727055</c:v>
                </c:pt>
                <c:pt idx="62">
                  <c:v>23.6320923347776</c:v>
                </c:pt>
                <c:pt idx="63">
                  <c:v>23.6522256462303</c:v>
                </c:pt>
                <c:pt idx="64">
                  <c:v>23.6720758573241</c:v>
                </c:pt>
                <c:pt idx="65">
                  <c:v>23.6916395668277</c:v>
                </c:pt>
                <c:pt idx="66">
                  <c:v>23.7109134226001</c:v>
                </c:pt>
                <c:pt idx="67">
                  <c:v>23.7298941221653</c:v>
                </c:pt>
                <c:pt idx="68">
                  <c:v>23.7485784132782</c:v>
                </c:pt>
                <c:pt idx="69">
                  <c:v>23.7669630944817</c:v>
                </c:pt>
                <c:pt idx="70">
                  <c:v>23.7850450156553</c:v>
                </c:pt>
                <c:pt idx="71">
                  <c:v>23.8028210785549</c:v>
                </c:pt>
                <c:pt idx="72">
                  <c:v>23.8202882373436</c:v>
                </c:pt>
                <c:pt idx="73">
                  <c:v>23.8374434991138</c:v>
                </c:pt>
                <c:pt idx="74">
                  <c:v>23.8542839243995</c:v>
                </c:pt>
                <c:pt idx="75">
                  <c:v>23.8708066276807</c:v>
                </c:pt>
                <c:pt idx="76">
                  <c:v>23.8870087778772</c:v>
                </c:pt>
                <c:pt idx="77">
                  <c:v>23.9028875988339</c:v>
                </c:pt>
                <c:pt idx="78">
                  <c:v>23.9184403697967</c:v>
                </c:pt>
                <c:pt idx="79">
                  <c:v>23.9336644258783</c:v>
                </c:pt>
                <c:pt idx="80">
                  <c:v>23.948557158515</c:v>
                </c:pt>
                <c:pt idx="81">
                  <c:v>23.9631160159138</c:v>
                </c:pt>
                <c:pt idx="82">
                  <c:v>23.9773385034894</c:v>
                </c:pt>
                <c:pt idx="83">
                  <c:v>23.9912221842918</c:v>
                </c:pt>
                <c:pt idx="84">
                  <c:v>24.0047646794238</c:v>
                </c:pt>
                <c:pt idx="85">
                  <c:v>24.0179636684485</c:v>
                </c:pt>
                <c:pt idx="86">
                  <c:v>24.0308168897872</c:v>
                </c:pt>
                <c:pt idx="87">
                  <c:v>24.0433221411064</c:v>
                </c:pt>
                <c:pt idx="88">
                  <c:v>24.0554772796959</c:v>
                </c:pt>
                <c:pt idx="89">
                  <c:v>24.067280222835</c:v>
                </c:pt>
                <c:pt idx="90">
                  <c:v>24.0787289481504</c:v>
                </c:pt>
                <c:pt idx="91">
                  <c:v>24.0898214939618</c:v>
                </c:pt>
                <c:pt idx="92">
                  <c:v>24.1005559596187</c:v>
                </c:pt>
                <c:pt idx="93">
                  <c:v>24.1109305058256</c:v>
                </c:pt>
                <c:pt idx="94">
                  <c:v>24.1209433549574</c:v>
                </c:pt>
                <c:pt idx="95">
                  <c:v>24.130592791364</c:v>
                </c:pt>
                <c:pt idx="96">
                  <c:v>24.1398771616641</c:v>
                </c:pt>
                <c:pt idx="97">
                  <c:v>24.1487948750287</c:v>
                </c:pt>
                <c:pt idx="98">
                  <c:v>24.1573444034534</c:v>
                </c:pt>
                <c:pt idx="99">
                  <c:v>24.1655242820207</c:v>
                </c:pt>
                <c:pt idx="100">
                  <c:v>24.1733331091504</c:v>
                </c:pt>
                <c:pt idx="101">
                  <c:v>24.1807695468402</c:v>
                </c:pt>
                <c:pt idx="102">
                  <c:v>24.1878323208948</c:v>
                </c:pt>
                <c:pt idx="103">
                  <c:v>24.1945202211442</c:v>
                </c:pt>
                <c:pt idx="104">
                  <c:v>24.2008321016511</c:v>
                </c:pt>
                <c:pt idx="105">
                  <c:v>24.2067668809073</c:v>
                </c:pt>
                <c:pt idx="106">
                  <c:v>24.2123235420189</c:v>
                </c:pt>
                <c:pt idx="107">
                  <c:v>24.2175011328807</c:v>
                </c:pt>
                <c:pt idx="108">
                  <c:v>24.2222987663391</c:v>
                </c:pt>
                <c:pt idx="109">
                  <c:v>24.2267156203443</c:v>
                </c:pt>
                <c:pt idx="110">
                  <c:v>24.2307509380911</c:v>
                </c:pt>
                <c:pt idx="111">
                  <c:v>24.2344040281486</c:v>
                </c:pt>
                <c:pt idx="112">
                  <c:v>24.2376742645786</c:v>
                </c:pt>
                <c:pt idx="113">
                  <c:v>24.240561087043</c:v>
                </c:pt>
                <c:pt idx="114">
                  <c:v>24.2430640008995</c:v>
                </c:pt>
                <c:pt idx="115">
                  <c:v>24.2451825772869</c:v>
                </c:pt>
                <c:pt idx="116">
                  <c:v>24.2469164531978</c:v>
                </c:pt>
                <c:pt idx="117">
                  <c:v>24.2482653315416</c:v>
                </c:pt>
                <c:pt idx="118">
                  <c:v>24.249228981195</c:v>
                </c:pt>
                <c:pt idx="119">
                  <c:v>24.2498072370415</c:v>
                </c:pt>
                <c:pt idx="120">
                  <c:v>24.25</c:v>
                </c:pt>
                <c:pt idx="121">
                  <c:v>24.2498072370415</c:v>
                </c:pt>
                <c:pt idx="122">
                  <c:v>24.249228981195</c:v>
                </c:pt>
                <c:pt idx="123">
                  <c:v>24.2482653315416</c:v>
                </c:pt>
                <c:pt idx="124">
                  <c:v>24.2469164531978</c:v>
                </c:pt>
                <c:pt idx="125">
                  <c:v>24.2451825772869</c:v>
                </c:pt>
                <c:pt idx="126">
                  <c:v>24.2430640008995</c:v>
                </c:pt>
                <c:pt idx="127">
                  <c:v>24.240561087043</c:v>
                </c:pt>
                <c:pt idx="128">
                  <c:v>24.2376742645786</c:v>
                </c:pt>
                <c:pt idx="129">
                  <c:v>24.2344040281486</c:v>
                </c:pt>
                <c:pt idx="130">
                  <c:v>24.2307509380911</c:v>
                </c:pt>
                <c:pt idx="131">
                  <c:v>24.2267156203443</c:v>
                </c:pt>
                <c:pt idx="132">
                  <c:v>24.2222987663391</c:v>
                </c:pt>
                <c:pt idx="133">
                  <c:v>24.2175011328807</c:v>
                </c:pt>
                <c:pt idx="134">
                  <c:v>24.2123235420189</c:v>
                </c:pt>
                <c:pt idx="135">
                  <c:v>24.2067668809073</c:v>
                </c:pt>
                <c:pt idx="136">
                  <c:v>24.2008321016511</c:v>
                </c:pt>
                <c:pt idx="137">
                  <c:v>24.1945202211442</c:v>
                </c:pt>
                <c:pt idx="138">
                  <c:v>24.1878323208948</c:v>
                </c:pt>
                <c:pt idx="139">
                  <c:v>24.1807695468402</c:v>
                </c:pt>
                <c:pt idx="140">
                  <c:v>24.1733331091504</c:v>
                </c:pt>
                <c:pt idx="141">
                  <c:v>24.1655242820207</c:v>
                </c:pt>
                <c:pt idx="142">
                  <c:v>24.1573444034534</c:v>
                </c:pt>
                <c:pt idx="143">
                  <c:v>24.1487948750287</c:v>
                </c:pt>
                <c:pt idx="144">
                  <c:v>24.1398771616641</c:v>
                </c:pt>
                <c:pt idx="145">
                  <c:v>24.130592791364</c:v>
                </c:pt>
                <c:pt idx="146">
                  <c:v>24.1209433549574</c:v>
                </c:pt>
                <c:pt idx="147">
                  <c:v>24.1109305058256</c:v>
                </c:pt>
                <c:pt idx="148">
                  <c:v>24.1005559596187</c:v>
                </c:pt>
                <c:pt idx="149">
                  <c:v>24.0898214939618</c:v>
                </c:pt>
                <c:pt idx="150">
                  <c:v>24.0787289481504</c:v>
                </c:pt>
                <c:pt idx="151">
                  <c:v>24.067280222835</c:v>
                </c:pt>
                <c:pt idx="152">
                  <c:v>24.0554772796959</c:v>
                </c:pt>
                <c:pt idx="153">
                  <c:v>24.0433221411064</c:v>
                </c:pt>
                <c:pt idx="154">
                  <c:v>24.0308168897872</c:v>
                </c:pt>
                <c:pt idx="155">
                  <c:v>24.0179636684485</c:v>
                </c:pt>
                <c:pt idx="156">
                  <c:v>24.0047646794238</c:v>
                </c:pt>
                <c:pt idx="157">
                  <c:v>23.9912221842918</c:v>
                </c:pt>
                <c:pt idx="158">
                  <c:v>23.9773385034894</c:v>
                </c:pt>
                <c:pt idx="159">
                  <c:v>23.9631160159138</c:v>
                </c:pt>
                <c:pt idx="160">
                  <c:v>23.948557158515</c:v>
                </c:pt>
                <c:pt idx="161">
                  <c:v>23.9336644258783</c:v>
                </c:pt>
                <c:pt idx="162">
                  <c:v>23.9184403697967</c:v>
                </c:pt>
                <c:pt idx="163">
                  <c:v>23.9028875988339</c:v>
                </c:pt>
                <c:pt idx="164">
                  <c:v>23.8870087778772</c:v>
                </c:pt>
                <c:pt idx="165">
                  <c:v>23.8708066276807</c:v>
                </c:pt>
                <c:pt idx="166">
                  <c:v>23.8542839243995</c:v>
                </c:pt>
                <c:pt idx="167">
                  <c:v>23.8374434991138</c:v>
                </c:pt>
                <c:pt idx="168">
                  <c:v>23.8202882373436</c:v>
                </c:pt>
                <c:pt idx="169">
                  <c:v>23.8028210785549</c:v>
                </c:pt>
                <c:pt idx="170">
                  <c:v>23.7850450156553</c:v>
                </c:pt>
                <c:pt idx="171">
                  <c:v>23.7669630944817</c:v>
                </c:pt>
                <c:pt idx="172">
                  <c:v>23.7485784132782</c:v>
                </c:pt>
                <c:pt idx="173">
                  <c:v>23.7298941221653</c:v>
                </c:pt>
                <c:pt idx="174">
                  <c:v>23.7109134226001</c:v>
                </c:pt>
                <c:pt idx="175">
                  <c:v>23.6916395668277</c:v>
                </c:pt>
                <c:pt idx="176">
                  <c:v>23.6720758573241</c:v>
                </c:pt>
                <c:pt idx="177">
                  <c:v>23.6522256462303</c:v>
                </c:pt>
                <c:pt idx="178">
                  <c:v>23.6320923347776</c:v>
                </c:pt>
                <c:pt idx="179">
                  <c:v>23.6116793727055</c:v>
                </c:pt>
                <c:pt idx="180">
                  <c:v>23.5909902576697</c:v>
                </c:pt>
                <c:pt idx="181">
                  <c:v>23.5700285346438</c:v>
                </c:pt>
                <c:pt idx="182">
                  <c:v>23.5487977953109</c:v>
                </c:pt>
                <c:pt idx="183">
                  <c:v>23.5273016774491</c:v>
                </c:pt>
                <c:pt idx="184">
                  <c:v>23.5055438643074</c:v>
                </c:pt>
                <c:pt idx="185">
                  <c:v>23.4835280839752</c:v>
                </c:pt>
                <c:pt idx="186">
                  <c:v>23.4612581087429</c:v>
                </c:pt>
                <c:pt idx="187">
                  <c:v>23.4387377544563</c:v>
                </c:pt>
                <c:pt idx="188">
                  <c:v>23.4159708798621</c:v>
                </c:pt>
                <c:pt idx="189">
                  <c:v>23.3929613859471</c:v>
                </c:pt>
                <c:pt idx="190">
                  <c:v>23.3697132152696</c:v>
                </c:pt>
                <c:pt idx="191">
                  <c:v>23.346230351284</c:v>
                </c:pt>
                <c:pt idx="192">
                  <c:v>23.3225168176581</c:v>
                </c:pt>
                <c:pt idx="193">
                  <c:v>23.2985766775838</c:v>
                </c:pt>
                <c:pt idx="194">
                  <c:v>23.2744140330809</c:v>
                </c:pt>
                <c:pt idx="195">
                  <c:v>23.2500330242941</c:v>
                </c:pt>
                <c:pt idx="196">
                  <c:v>23.2254378287838</c:v>
                </c:pt>
                <c:pt idx="197">
                  <c:v>23.2006326608101</c:v>
                </c:pt>
                <c:pt idx="198">
                  <c:v>23.1756217706109</c:v>
                </c:pt>
                <c:pt idx="199">
                  <c:v>23.1504094436734</c:v>
                </c:pt>
                <c:pt idx="200">
                  <c:v>23.125</c:v>
                </c:pt>
              </c:numCache>
            </c:numRef>
          </c:yVal>
          <c:smooth val="1"/>
        </c:ser>
        <c:ser>
          <c:idx val="28"/>
          <c:order val="28"/>
          <c:tx>
            <c:strRef>
              <c:f>试加重示意图!$L$10023</c:f>
              <c:strCache>
                <c:ptCount val="1"/>
                <c:pt idx="0">
                  <c:v/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/>
              </c:ext>
            </c:extLst>
          </c:dLbls>
          <c:xVal>
            <c:numRef>
              <c:f>试加重示意图!$J$10206</c:f>
              <c:numCache>
                <c:formatCode>General</c:formatCode>
                <c:ptCount val="1"/>
                <c:pt idx="0">
                  <c:v>22.7328892146357</c:v>
                </c:pt>
              </c:numCache>
            </c:numRef>
          </c:xVal>
          <c:yVal>
            <c:numRef>
              <c:f>试加重示意图!$K$10206</c:f>
              <c:numCache>
                <c:formatCode>General</c:formatCode>
                <c:ptCount val="1"/>
                <c:pt idx="0">
                  <c:v>24.5986291384248</c:v>
                </c:pt>
              </c:numCache>
            </c:numRef>
          </c:yVal>
          <c:smooth val="1"/>
        </c:ser>
        <c:ser>
          <c:idx val="29"/>
          <c:order val="29"/>
          <c:tx>
            <c:strRef>
              <c:f>"Ay夹角"</c:f>
              <c:strCache>
                <c:ptCount val="1"/>
                <c:pt idx="0">
                  <c:v>Ay夹角</c:v>
                </c:pt>
              </c:strCache>
            </c:strRef>
          </c:tx>
          <c:spPr>
            <a:ln w="19050" cap="rnd" cmpd="sng" algn="ctr">
              <a:solidFill>
                <a:schemeClr val="accent6">
                  <a:tint val="70000"/>
                  <a:shade val="95000"/>
                  <a:satMod val="105000"/>
                </a:schemeClr>
              </a:solidFill>
              <a:prstDash val="sysDash"/>
              <a:round/>
            </a:ln>
          </c:spPr>
          <c:marker>
            <c:symbol val="none"/>
          </c:marker>
          <c:dLbls>
            <c:delete val="1"/>
          </c:dLbls>
          <c:xVal>
            <c:numRef>
              <c:f>试加重示意图!$J$10209:$J$10409</c:f>
              <c:numCache>
                <c:formatCode>General</c:formatCode>
                <c:ptCount val="201"/>
                <c:pt idx="0">
                  <c:v>19.4019237886467</c:v>
                </c:pt>
                <c:pt idx="1">
                  <c:v>19.3999625196653</c:v>
                </c:pt>
                <c:pt idx="2">
                  <c:v>19.3980057057773</c:v>
                </c:pt>
                <c:pt idx="3">
                  <c:v>19.3960533503356</c:v>
                </c:pt>
                <c:pt idx="4">
                  <c:v>19.3941054566854</c:v>
                </c:pt>
                <c:pt idx="5">
                  <c:v>19.3921620281646</c:v>
                </c:pt>
                <c:pt idx="6">
                  <c:v>19.390223068103</c:v>
                </c:pt>
                <c:pt idx="7">
                  <c:v>19.388288579823</c:v>
                </c:pt>
                <c:pt idx="8">
                  <c:v>19.3863585666394</c:v>
                </c:pt>
                <c:pt idx="9">
                  <c:v>19.3844330318592</c:v>
                </c:pt>
                <c:pt idx="10">
                  <c:v>19.3825119787816</c:v>
                </c:pt>
                <c:pt idx="11">
                  <c:v>19.3805954106984</c:v>
                </c:pt>
                <c:pt idx="12">
                  <c:v>19.3786833308936</c:v>
                </c:pt>
                <c:pt idx="13">
                  <c:v>19.3767757426434</c:v>
                </c:pt>
                <c:pt idx="14">
                  <c:v>19.3748726492165</c:v>
                </c:pt>
                <c:pt idx="15">
                  <c:v>19.3729740538738</c:v>
                </c:pt>
                <c:pt idx="16">
                  <c:v>19.3710799598684</c:v>
                </c:pt>
                <c:pt idx="17">
                  <c:v>19.3691903704458</c:v>
                </c:pt>
                <c:pt idx="18">
                  <c:v>19.3673052888439</c:v>
                </c:pt>
                <c:pt idx="19">
                  <c:v>19.3654247182925</c:v>
                </c:pt>
                <c:pt idx="20">
                  <c:v>19.3635486620141</c:v>
                </c:pt>
                <c:pt idx="21">
                  <c:v>19.3616771232232</c:v>
                </c:pt>
                <c:pt idx="22">
                  <c:v>19.3598101051266</c:v>
                </c:pt>
                <c:pt idx="23">
                  <c:v>19.3579476109234</c:v>
                </c:pt>
                <c:pt idx="24">
                  <c:v>19.356089643805</c:v>
                </c:pt>
                <c:pt idx="25">
                  <c:v>19.3542362069549</c:v>
                </c:pt>
                <c:pt idx="26">
                  <c:v>19.352387303549</c:v>
                </c:pt>
                <c:pt idx="27">
                  <c:v>19.3505429367552</c:v>
                </c:pt>
                <c:pt idx="28">
                  <c:v>19.3487031097339</c:v>
                </c:pt>
                <c:pt idx="29">
                  <c:v>19.3468678256376</c:v>
                </c:pt>
                <c:pt idx="30">
                  <c:v>19.3450370876109</c:v>
                </c:pt>
                <c:pt idx="31">
                  <c:v>19.3432108987908</c:v>
                </c:pt>
                <c:pt idx="32">
                  <c:v>19.3413892623064</c:v>
                </c:pt>
                <c:pt idx="33">
                  <c:v>19.339572181279</c:v>
                </c:pt>
                <c:pt idx="34">
                  <c:v>19.3377596588222</c:v>
                </c:pt>
                <c:pt idx="35">
                  <c:v>19.3359516980416</c:v>
                </c:pt>
                <c:pt idx="36">
                  <c:v>19.3341483020352</c:v>
                </c:pt>
                <c:pt idx="37">
                  <c:v>19.332349473893</c:v>
                </c:pt>
                <c:pt idx="38">
                  <c:v>19.3305552166972</c:v>
                </c:pt>
                <c:pt idx="39">
                  <c:v>19.3287655335223</c:v>
                </c:pt>
                <c:pt idx="40">
                  <c:v>19.3269804274349</c:v>
                </c:pt>
                <c:pt idx="41">
                  <c:v>19.3251999014937</c:v>
                </c:pt>
                <c:pt idx="42">
                  <c:v>19.3234239587495</c:v>
                </c:pt>
                <c:pt idx="43">
                  <c:v>19.3216526022454</c:v>
                </c:pt>
                <c:pt idx="44">
                  <c:v>19.3198858350165</c:v>
                </c:pt>
                <c:pt idx="45">
                  <c:v>19.3181236600902</c:v>
                </c:pt>
                <c:pt idx="46">
                  <c:v>19.3163660804859</c:v>
                </c:pt>
                <c:pt idx="47">
                  <c:v>19.3146130992152</c:v>
                </c:pt>
                <c:pt idx="48">
                  <c:v>19.3128647192818</c:v>
                </c:pt>
                <c:pt idx="49">
                  <c:v>19.3111209436814</c:v>
                </c:pt>
                <c:pt idx="50">
                  <c:v>19.3093817754019</c:v>
                </c:pt>
                <c:pt idx="51">
                  <c:v>19.3076472174235</c:v>
                </c:pt>
                <c:pt idx="52">
                  <c:v>19.3059172727182</c:v>
                </c:pt>
                <c:pt idx="53">
                  <c:v>19.3041919442501</c:v>
                </c:pt>
                <c:pt idx="54">
                  <c:v>19.3024712349757</c:v>
                </c:pt>
                <c:pt idx="55">
                  <c:v>19.3007551478434</c:v>
                </c:pt>
                <c:pt idx="56">
                  <c:v>19.2990436857934</c:v>
                </c:pt>
                <c:pt idx="57">
                  <c:v>19.2973368517585</c:v>
                </c:pt>
                <c:pt idx="58">
                  <c:v>19.2956346486633</c:v>
                </c:pt>
                <c:pt idx="59">
                  <c:v>19.2939370794243</c:v>
                </c:pt>
                <c:pt idx="60">
                  <c:v>19.2922441469504</c:v>
                </c:pt>
                <c:pt idx="61">
                  <c:v>19.2905558541424</c:v>
                </c:pt>
                <c:pt idx="62">
                  <c:v>19.288872203893</c:v>
                </c:pt>
                <c:pt idx="63">
                  <c:v>19.2871931990872</c:v>
                </c:pt>
                <c:pt idx="64">
                  <c:v>19.285518842602</c:v>
                </c:pt>
                <c:pt idx="65">
                  <c:v>19.2838491373061</c:v>
                </c:pt>
                <c:pt idx="66">
                  <c:v>19.2821840860608</c:v>
                </c:pt>
                <c:pt idx="67">
                  <c:v>19.280523691719</c:v>
                </c:pt>
                <c:pt idx="68">
                  <c:v>19.2788679571256</c:v>
                </c:pt>
                <c:pt idx="69">
                  <c:v>19.2772168851179</c:v>
                </c:pt>
                <c:pt idx="70">
                  <c:v>19.2755704785248</c:v>
                </c:pt>
                <c:pt idx="71">
                  <c:v>19.2739287401674</c:v>
                </c:pt>
                <c:pt idx="72">
                  <c:v>19.2722916728588</c:v>
                </c:pt>
                <c:pt idx="73">
                  <c:v>19.2706592794041</c:v>
                </c:pt>
                <c:pt idx="74">
                  <c:v>19.2690315626003</c:v>
                </c:pt>
                <c:pt idx="75">
                  <c:v>19.2674085252365</c:v>
                </c:pt>
                <c:pt idx="76">
                  <c:v>19.2657901700937</c:v>
                </c:pt>
                <c:pt idx="77">
                  <c:v>19.2641764999449</c:v>
                </c:pt>
                <c:pt idx="78">
                  <c:v>19.2625675175551</c:v>
                </c:pt>
                <c:pt idx="79">
                  <c:v>19.2609632256812</c:v>
                </c:pt>
                <c:pt idx="80">
                  <c:v>19.2593636270722</c:v>
                </c:pt>
                <c:pt idx="81">
                  <c:v>19.2577687244689</c:v>
                </c:pt>
                <c:pt idx="82">
                  <c:v>19.2561785206042</c:v>
                </c:pt>
                <c:pt idx="83">
                  <c:v>19.2545930182027</c:v>
                </c:pt>
                <c:pt idx="84">
                  <c:v>19.2530122199813</c:v>
                </c:pt>
                <c:pt idx="85">
                  <c:v>19.2514361286486</c:v>
                </c:pt>
                <c:pt idx="86">
                  <c:v>19.2498647469052</c:v>
                </c:pt>
                <c:pt idx="87">
                  <c:v>19.2482980774435</c:v>
                </c:pt>
                <c:pt idx="88">
                  <c:v>19.2467361229481</c:v>
                </c:pt>
                <c:pt idx="89">
                  <c:v>19.2451788860953</c:v>
                </c:pt>
                <c:pt idx="90">
                  <c:v>19.2436263695533</c:v>
                </c:pt>
                <c:pt idx="91">
                  <c:v>19.2420785759825</c:v>
                </c:pt>
                <c:pt idx="92">
                  <c:v>19.2405355080348</c:v>
                </c:pt>
                <c:pt idx="93">
                  <c:v>19.2389971683543</c:v>
                </c:pt>
                <c:pt idx="94">
                  <c:v>19.2374635595769</c:v>
                </c:pt>
                <c:pt idx="95">
                  <c:v>19.2359346843304</c:v>
                </c:pt>
                <c:pt idx="96">
                  <c:v>19.2344105452345</c:v>
                </c:pt>
                <c:pt idx="97">
                  <c:v>19.2328911449007</c:v>
                </c:pt>
                <c:pt idx="98">
                  <c:v>19.2313764859326</c:v>
                </c:pt>
                <c:pt idx="99">
                  <c:v>19.2298665709253</c:v>
                </c:pt>
                <c:pt idx="100">
                  <c:v>19.2283614024662</c:v>
                </c:pt>
                <c:pt idx="101">
                  <c:v>19.2268609831342</c:v>
                </c:pt>
                <c:pt idx="102">
                  <c:v>19.2253653155004</c:v>
                </c:pt>
                <c:pt idx="103">
                  <c:v>19.2238744021274</c:v>
                </c:pt>
                <c:pt idx="104">
                  <c:v>19.22238824557</c:v>
                </c:pt>
                <c:pt idx="105">
                  <c:v>19.2209068483747</c:v>
                </c:pt>
                <c:pt idx="106">
                  <c:v>19.2194302130797</c:v>
                </c:pt>
                <c:pt idx="107">
                  <c:v>19.2179583422152</c:v>
                </c:pt>
                <c:pt idx="108">
                  <c:v>19.2164912383033</c:v>
                </c:pt>
                <c:pt idx="109">
                  <c:v>19.2150289038577</c:v>
                </c:pt>
                <c:pt idx="110">
                  <c:v>19.2135713413843</c:v>
                </c:pt>
                <c:pt idx="111">
                  <c:v>19.2121185533803</c:v>
                </c:pt>
                <c:pt idx="112">
                  <c:v>19.2106705423353</c:v>
                </c:pt>
                <c:pt idx="113">
                  <c:v>19.2092273107302</c:v>
                </c:pt>
                <c:pt idx="114">
                  <c:v>19.2077888610381</c:v>
                </c:pt>
                <c:pt idx="115">
                  <c:v>19.2063551957236</c:v>
                </c:pt>
                <c:pt idx="116">
                  <c:v>19.2049263172434</c:v>
                </c:pt>
                <c:pt idx="117">
                  <c:v>19.2035022280457</c:v>
                </c:pt>
                <c:pt idx="118">
                  <c:v>19.2020829305707</c:v>
                </c:pt>
                <c:pt idx="119">
                  <c:v>19.2006684272504</c:v>
                </c:pt>
                <c:pt idx="120">
                  <c:v>19.1992587205084</c:v>
                </c:pt>
                <c:pt idx="121">
                  <c:v>19.1978538127603</c:v>
                </c:pt>
                <c:pt idx="122">
                  <c:v>19.1964537064132</c:v>
                </c:pt>
                <c:pt idx="123">
                  <c:v>19.1950584038663</c:v>
                </c:pt>
                <c:pt idx="124">
                  <c:v>19.1936679075104</c:v>
                </c:pt>
                <c:pt idx="125">
                  <c:v>19.192282219728</c:v>
                </c:pt>
                <c:pt idx="126">
                  <c:v>19.1909013428936</c:v>
                </c:pt>
                <c:pt idx="127">
                  <c:v>19.189525279373</c:v>
                </c:pt>
                <c:pt idx="128">
                  <c:v>19.1881540315244</c:v>
                </c:pt>
                <c:pt idx="129">
                  <c:v>19.1867876016971</c:v>
                </c:pt>
                <c:pt idx="130">
                  <c:v>19.1854259922326</c:v>
                </c:pt>
                <c:pt idx="131">
                  <c:v>19.1840692054639</c:v>
                </c:pt>
                <c:pt idx="132">
                  <c:v>19.1827172437159</c:v>
                </c:pt>
                <c:pt idx="133">
                  <c:v>19.1813701093051</c:v>
                </c:pt>
                <c:pt idx="134">
                  <c:v>19.1800278045398</c:v>
                </c:pt>
                <c:pt idx="135">
                  <c:v>19.17869033172</c:v>
                </c:pt>
                <c:pt idx="136">
                  <c:v>19.1773576931374</c:v>
                </c:pt>
                <c:pt idx="137">
                  <c:v>19.1760298910754</c:v>
                </c:pt>
                <c:pt idx="138">
                  <c:v>19.1747069278092</c:v>
                </c:pt>
                <c:pt idx="139">
                  <c:v>19.1733888056057</c:v>
                </c:pt>
                <c:pt idx="140">
                  <c:v>19.1720755267235</c:v>
                </c:pt>
                <c:pt idx="141">
                  <c:v>19.1707670934127</c:v>
                </c:pt>
                <c:pt idx="142">
                  <c:v>19.1694635079154</c:v>
                </c:pt>
                <c:pt idx="143">
                  <c:v>19.1681647724653</c:v>
                </c:pt>
                <c:pt idx="144">
                  <c:v>19.1668708892876</c:v>
                </c:pt>
                <c:pt idx="145">
                  <c:v>19.1655818605994</c:v>
                </c:pt>
                <c:pt idx="146">
                  <c:v>19.1642976886094</c:v>
                </c:pt>
                <c:pt idx="147">
                  <c:v>19.1630183755181</c:v>
                </c:pt>
                <c:pt idx="148">
                  <c:v>19.1617439235174</c:v>
                </c:pt>
                <c:pt idx="149">
                  <c:v>19.1604743347911</c:v>
                </c:pt>
                <c:pt idx="150">
                  <c:v>19.1592096115147</c:v>
                </c:pt>
                <c:pt idx="151">
                  <c:v>19.1579497558552</c:v>
                </c:pt>
                <c:pt idx="152">
                  <c:v>19.1566947699713</c:v>
                </c:pt>
                <c:pt idx="153">
                  <c:v>19.1554446560134</c:v>
                </c:pt>
                <c:pt idx="154">
                  <c:v>19.1541994161235</c:v>
                </c:pt>
                <c:pt idx="155">
                  <c:v>19.1529590524354</c:v>
                </c:pt>
                <c:pt idx="156">
                  <c:v>19.1517235670743</c:v>
                </c:pt>
                <c:pt idx="157">
                  <c:v>19.1504929621573</c:v>
                </c:pt>
                <c:pt idx="158">
                  <c:v>19.1492672397929</c:v>
                </c:pt>
                <c:pt idx="159">
                  <c:v>19.1480464020813</c:v>
                </c:pt>
                <c:pt idx="160">
                  <c:v>19.1468304511146</c:v>
                </c:pt>
                <c:pt idx="161">
                  <c:v>19.145619388976</c:v>
                </c:pt>
                <c:pt idx="162">
                  <c:v>19.1444132177409</c:v>
                </c:pt>
                <c:pt idx="163">
                  <c:v>19.1432119394758</c:v>
                </c:pt>
                <c:pt idx="164">
                  <c:v>19.1420155562393</c:v>
                </c:pt>
                <c:pt idx="165">
                  <c:v>19.1408240700811</c:v>
                </c:pt>
                <c:pt idx="166">
                  <c:v>19.139637483043</c:v>
                </c:pt>
                <c:pt idx="167">
                  <c:v>19.1384557971581</c:v>
                </c:pt>
                <c:pt idx="168">
                  <c:v>19.1372790144512</c:v>
                </c:pt>
                <c:pt idx="169">
                  <c:v>19.1361071369387</c:v>
                </c:pt>
                <c:pt idx="170">
                  <c:v>19.1349401666285</c:v>
                </c:pt>
                <c:pt idx="171">
                  <c:v>19.1337781055202</c:v>
                </c:pt>
                <c:pt idx="172">
                  <c:v>19.132620955605</c:v>
                </c:pt>
                <c:pt idx="173">
                  <c:v>19.1314687188657</c:v>
                </c:pt>
                <c:pt idx="174">
                  <c:v>19.1303213972765</c:v>
                </c:pt>
                <c:pt idx="175">
                  <c:v>19.1291789928034</c:v>
                </c:pt>
                <c:pt idx="176">
                  <c:v>19.1280415074038</c:v>
                </c:pt>
                <c:pt idx="177">
                  <c:v>19.1269089430268</c:v>
                </c:pt>
                <c:pt idx="178">
                  <c:v>19.1257813016131</c:v>
                </c:pt>
                <c:pt idx="179">
                  <c:v>19.1246585850947</c:v>
                </c:pt>
                <c:pt idx="180">
                  <c:v>19.1235407953954</c:v>
                </c:pt>
                <c:pt idx="181">
                  <c:v>19.1224279344306</c:v>
                </c:pt>
                <c:pt idx="182">
                  <c:v>19.1213200041071</c:v>
                </c:pt>
                <c:pt idx="183">
                  <c:v>19.1202170063233</c:v>
                </c:pt>
                <c:pt idx="184">
                  <c:v>19.1191189429692</c:v>
                </c:pt>
                <c:pt idx="185">
                  <c:v>19.1180258159262</c:v>
                </c:pt>
                <c:pt idx="186">
                  <c:v>19.1169376270675</c:v>
                </c:pt>
                <c:pt idx="187">
                  <c:v>19.1158543782575</c:v>
                </c:pt>
                <c:pt idx="188">
                  <c:v>19.1147760713524</c:v>
                </c:pt>
                <c:pt idx="189">
                  <c:v>19.1137027081999</c:v>
                </c:pt>
                <c:pt idx="190">
                  <c:v>19.1126342906391</c:v>
                </c:pt>
                <c:pt idx="191">
                  <c:v>19.1115708205007</c:v>
                </c:pt>
                <c:pt idx="192">
                  <c:v>19.1105122996071</c:v>
                </c:pt>
                <c:pt idx="193">
                  <c:v>19.1094587297718</c:v>
                </c:pt>
                <c:pt idx="194">
                  <c:v>19.1084101128002</c:v>
                </c:pt>
                <c:pt idx="195">
                  <c:v>19.107366450489</c:v>
                </c:pt>
                <c:pt idx="196">
                  <c:v>19.1063277446266</c:v>
                </c:pt>
                <c:pt idx="197">
                  <c:v>19.1052939969928</c:v>
                </c:pt>
                <c:pt idx="198">
                  <c:v>19.1042652093587</c:v>
                </c:pt>
                <c:pt idx="199">
                  <c:v>19.1032413834873</c:v>
                </c:pt>
                <c:pt idx="200">
                  <c:v>19.1022225211328</c:v>
                </c:pt>
              </c:numCache>
            </c:numRef>
          </c:xVal>
          <c:yVal>
            <c:numRef>
              <c:f>试加重示意图!$K$10209:$K$10409</c:f>
              <c:numCache>
                <c:formatCode>General</c:formatCode>
                <c:ptCount val="201"/>
                <c:pt idx="0">
                  <c:v>23.5</c:v>
                </c:pt>
                <c:pt idx="1">
                  <c:v>23.4965978420587</c:v>
                </c:pt>
                <c:pt idx="2">
                  <c:v>23.4931931197378</c:v>
                </c:pt>
                <c:pt idx="3">
                  <c:v>23.4897858388712</c:v>
                </c:pt>
                <c:pt idx="4">
                  <c:v>23.4863760052972</c:v>
                </c:pt>
                <c:pt idx="5">
                  <c:v>23.4829636248584</c:v>
                </c:pt>
                <c:pt idx="6">
                  <c:v>23.4795487034019</c:v>
                </c:pt>
                <c:pt idx="7">
                  <c:v>23.476131246779</c:v>
                </c:pt>
                <c:pt idx="8">
                  <c:v>23.4727112608454</c:v>
                </c:pt>
                <c:pt idx="9">
                  <c:v>23.4692887514613</c:v>
                </c:pt>
                <c:pt idx="10">
                  <c:v>23.4658637244909</c:v>
                </c:pt>
                <c:pt idx="11">
                  <c:v>23.4624361858029</c:v>
                </c:pt>
                <c:pt idx="12">
                  <c:v>23.4590061412705</c:v>
                </c:pt>
                <c:pt idx="13">
                  <c:v>23.4555735967708</c:v>
                </c:pt>
                <c:pt idx="14">
                  <c:v>23.4521385581854</c:v>
                </c:pt>
                <c:pt idx="15">
                  <c:v>23.4487010314001</c:v>
                </c:pt>
                <c:pt idx="16">
                  <c:v>23.4452610223052</c:v>
                </c:pt>
                <c:pt idx="17">
                  <c:v>23.4418185367948</c:v>
                </c:pt>
                <c:pt idx="18">
                  <c:v>23.4383735807677</c:v>
                </c:pt>
                <c:pt idx="19">
                  <c:v>23.4349261601267</c:v>
                </c:pt>
                <c:pt idx="20">
                  <c:v>23.4314762807788</c:v>
                </c:pt>
                <c:pt idx="21">
                  <c:v>23.4280239486354</c:v>
                </c:pt>
                <c:pt idx="22">
                  <c:v>23.4245691696118</c:v>
                </c:pt>
                <c:pt idx="23">
                  <c:v>23.4211119496278</c:v>
                </c:pt>
                <c:pt idx="24">
                  <c:v>23.4176522946072</c:v>
                </c:pt>
                <c:pt idx="25">
                  <c:v>23.414190210478</c:v>
                </c:pt>
                <c:pt idx="26">
                  <c:v>23.4107257031725</c:v>
                </c:pt>
                <c:pt idx="27">
                  <c:v>23.4072587786269</c:v>
                </c:pt>
                <c:pt idx="28">
                  <c:v>23.4037894427817</c:v>
                </c:pt>
                <c:pt idx="29">
                  <c:v>23.4003177015816</c:v>
                </c:pt>
                <c:pt idx="30">
                  <c:v>23.3968435609753</c:v>
                </c:pt>
                <c:pt idx="31">
                  <c:v>23.3933670269157</c:v>
                </c:pt>
                <c:pt idx="32">
                  <c:v>23.3898881053596</c:v>
                </c:pt>
                <c:pt idx="33">
                  <c:v>23.3864068022681</c:v>
                </c:pt>
                <c:pt idx="34">
                  <c:v>23.3829231236064</c:v>
                </c:pt>
                <c:pt idx="35">
                  <c:v>23.3794370753436</c:v>
                </c:pt>
                <c:pt idx="36">
                  <c:v>23.375948663453</c:v>
                </c:pt>
                <c:pt idx="37">
                  <c:v>23.3724578939118</c:v>
                </c:pt>
                <c:pt idx="38">
                  <c:v>23.3689647727014</c:v>
                </c:pt>
                <c:pt idx="39">
                  <c:v>23.3654693058073</c:v>
                </c:pt>
                <c:pt idx="40">
                  <c:v>23.3619714992187</c:v>
                </c:pt>
                <c:pt idx="41">
                  <c:v>23.358471358929</c:v>
                </c:pt>
                <c:pt idx="42">
                  <c:v>23.3549688909357</c:v>
                </c:pt>
                <c:pt idx="43">
                  <c:v>23.3514641012402</c:v>
                </c:pt>
                <c:pt idx="44">
                  <c:v>23.3479569958477</c:v>
                </c:pt>
                <c:pt idx="45">
                  <c:v>23.3444475807677</c:v>
                </c:pt>
                <c:pt idx="46">
                  <c:v>23.3409358620134</c:v>
                </c:pt>
                <c:pt idx="47">
                  <c:v>23.337421845602</c:v>
                </c:pt>
                <c:pt idx="48">
                  <c:v>23.3339055375548</c:v>
                </c:pt>
                <c:pt idx="49">
                  <c:v>23.3303869438968</c:v>
                </c:pt>
                <c:pt idx="50">
                  <c:v>23.326866070657</c:v>
                </c:pt>
                <c:pt idx="51">
                  <c:v>23.3233429238684</c:v>
                </c:pt>
                <c:pt idx="52">
                  <c:v>23.3198175095678</c:v>
                </c:pt>
                <c:pt idx="53">
                  <c:v>23.3162898337958</c:v>
                </c:pt>
                <c:pt idx="54">
                  <c:v>23.3127599025971</c:v>
                </c:pt>
                <c:pt idx="55">
                  <c:v>23.3092277220201</c:v>
                </c:pt>
                <c:pt idx="56">
                  <c:v>23.305693298117</c:v>
                </c:pt>
                <c:pt idx="57">
                  <c:v>23.3021566369441</c:v>
                </c:pt>
                <c:pt idx="58">
                  <c:v>23.2986177445613</c:v>
                </c:pt>
                <c:pt idx="59">
                  <c:v>23.2950766270323</c:v>
                </c:pt>
                <c:pt idx="60">
                  <c:v>23.2915332904249</c:v>
                </c:pt>
                <c:pt idx="61">
                  <c:v>23.2879877408104</c:v>
                </c:pt>
                <c:pt idx="62">
                  <c:v>23.284439984264</c:v>
                </c:pt>
                <c:pt idx="63">
                  <c:v>23.2808900268647</c:v>
                </c:pt>
                <c:pt idx="64">
                  <c:v>23.2773378746953</c:v>
                </c:pt>
                <c:pt idx="65">
                  <c:v>23.2737835338422</c:v>
                </c:pt>
                <c:pt idx="66">
                  <c:v>23.2702270103957</c:v>
                </c:pt>
                <c:pt idx="67">
                  <c:v>23.2666683104499</c:v>
                </c:pt>
                <c:pt idx="68">
                  <c:v>23.2631074401025</c:v>
                </c:pt>
                <c:pt idx="69">
                  <c:v>23.2595444054549</c:v>
                </c:pt>
                <c:pt idx="70">
                  <c:v>23.2559792126123</c:v>
                </c:pt>
                <c:pt idx="71">
                  <c:v>23.2524118676836</c:v>
                </c:pt>
                <c:pt idx="72">
                  <c:v>23.2488423767812</c:v>
                </c:pt>
                <c:pt idx="73">
                  <c:v>23.2452707460215</c:v>
                </c:pt>
                <c:pt idx="74">
                  <c:v>23.2416969815243</c:v>
                </c:pt>
                <c:pt idx="75">
                  <c:v>23.2381210894132</c:v>
                </c:pt>
                <c:pt idx="76">
                  <c:v>23.2345430758154</c:v>
                </c:pt>
                <c:pt idx="77">
                  <c:v>23.2309629468616</c:v>
                </c:pt>
                <c:pt idx="78">
                  <c:v>23.2273807086864</c:v>
                </c:pt>
                <c:pt idx="79">
                  <c:v>23.2237963674278</c:v>
                </c:pt>
                <c:pt idx="80">
                  <c:v>23.2202099292274</c:v>
                </c:pt>
                <c:pt idx="81">
                  <c:v>23.2166214002307</c:v>
                </c:pt>
                <c:pt idx="82">
                  <c:v>23.2130307865863</c:v>
                </c:pt>
                <c:pt idx="83">
                  <c:v>23.2094380944467</c:v>
                </c:pt>
                <c:pt idx="84">
                  <c:v>23.2058433299679</c:v>
                </c:pt>
                <c:pt idx="85">
                  <c:v>23.2022464993095</c:v>
                </c:pt>
                <c:pt idx="86">
                  <c:v>23.1986476086344</c:v>
                </c:pt>
                <c:pt idx="87">
                  <c:v>23.1950466641093</c:v>
                </c:pt>
                <c:pt idx="88">
                  <c:v>23.1914436719044</c:v>
                </c:pt>
                <c:pt idx="89">
                  <c:v>23.1878386381932</c:v>
                </c:pt>
                <c:pt idx="90">
                  <c:v>23.1842315691528</c:v>
                </c:pt>
                <c:pt idx="91">
                  <c:v>23.180622470964</c:v>
                </c:pt>
                <c:pt idx="92">
                  <c:v>23.1770113498107</c:v>
                </c:pt>
                <c:pt idx="93">
                  <c:v>23.1733982118806</c:v>
                </c:pt>
                <c:pt idx="94">
                  <c:v>23.1697830633646</c:v>
                </c:pt>
                <c:pt idx="95">
                  <c:v>23.1661659104572</c:v>
                </c:pt>
                <c:pt idx="96">
                  <c:v>23.1625467593564</c:v>
                </c:pt>
                <c:pt idx="97">
                  <c:v>23.1589256162633</c:v>
                </c:pt>
                <c:pt idx="98">
                  <c:v>23.1553024873828</c:v>
                </c:pt>
                <c:pt idx="99">
                  <c:v>23.151677378923</c:v>
                </c:pt>
                <c:pt idx="100">
                  <c:v>23.1480502970953</c:v>
                </c:pt>
                <c:pt idx="101">
                  <c:v>23.1444212481148</c:v>
                </c:pt>
                <c:pt idx="102">
                  <c:v>23.1407902381997</c:v>
                </c:pt>
                <c:pt idx="103">
                  <c:v>23.1371572735716</c:v>
                </c:pt>
                <c:pt idx="104">
                  <c:v>23.1335223604555</c:v>
                </c:pt>
                <c:pt idx="105">
                  <c:v>23.1298855050797</c:v>
                </c:pt>
                <c:pt idx="106">
                  <c:v>23.1262467136759</c:v>
                </c:pt>
                <c:pt idx="107">
                  <c:v>23.1226059924791</c:v>
                </c:pt>
                <c:pt idx="108">
                  <c:v>23.1189633477275</c:v>
                </c:pt>
                <c:pt idx="109">
                  <c:v>23.1153187856627</c:v>
                </c:pt>
                <c:pt idx="110">
                  <c:v>23.1116723125296</c:v>
                </c:pt>
                <c:pt idx="111">
                  <c:v>23.1080239345762</c:v>
                </c:pt>
                <c:pt idx="112">
                  <c:v>23.1043736580541</c:v>
                </c:pt>
                <c:pt idx="113">
                  <c:v>23.1007214892178</c:v>
                </c:pt>
                <c:pt idx="114">
                  <c:v>23.0970674343252</c:v>
                </c:pt>
                <c:pt idx="115">
                  <c:v>23.0934114996375</c:v>
                </c:pt>
                <c:pt idx="116">
                  <c:v>23.089753691419</c:v>
                </c:pt>
                <c:pt idx="117">
                  <c:v>23.0860940159372</c:v>
                </c:pt>
                <c:pt idx="118">
                  <c:v>23.082432479463</c:v>
                </c:pt>
                <c:pt idx="119">
                  <c:v>23.0787690882702</c:v>
                </c:pt>
                <c:pt idx="120">
                  <c:v>23.075103848636</c:v>
                </c:pt>
                <c:pt idx="121">
                  <c:v>23.0714367668406</c:v>
                </c:pt>
                <c:pt idx="122">
                  <c:v>23.0677678491675</c:v>
                </c:pt>
                <c:pt idx="123">
                  <c:v>23.0640971019034</c:v>
                </c:pt>
                <c:pt idx="124">
                  <c:v>23.0604245313378</c:v>
                </c:pt>
                <c:pt idx="125">
                  <c:v>23.0567501437638</c:v>
                </c:pt>
                <c:pt idx="126">
                  <c:v>23.0530739454771</c:v>
                </c:pt>
                <c:pt idx="127">
                  <c:v>23.049395942777</c:v>
                </c:pt>
                <c:pt idx="128">
                  <c:v>23.0457161419655</c:v>
                </c:pt>
                <c:pt idx="129">
                  <c:v>23.0420345493479</c:v>
                </c:pt>
                <c:pt idx="130">
                  <c:v>23.0383511712326</c:v>
                </c:pt>
                <c:pt idx="131">
                  <c:v>23.0346660139307</c:v>
                </c:pt>
                <c:pt idx="132">
                  <c:v>23.0309790837569</c:v>
                </c:pt>
                <c:pt idx="133">
                  <c:v>23.0272903870285</c:v>
                </c:pt>
                <c:pt idx="134">
                  <c:v>23.0235999300661</c:v>
                </c:pt>
                <c:pt idx="135">
                  <c:v>23.0199077191931</c:v>
                </c:pt>
                <c:pt idx="136">
                  <c:v>23.016213760736</c:v>
                </c:pt>
                <c:pt idx="137">
                  <c:v>23.0125180610243</c:v>
                </c:pt>
                <c:pt idx="138">
                  <c:v>23.0088206263905</c:v>
                </c:pt>
                <c:pt idx="139">
                  <c:v>23.00512146317</c:v>
                </c:pt>
                <c:pt idx="140">
                  <c:v>23.0014205777014</c:v>
                </c:pt>
                <c:pt idx="141">
                  <c:v>22.9977179763259</c:v>
                </c:pt>
                <c:pt idx="142">
                  <c:v>22.9940136653878</c:v>
                </c:pt>
                <c:pt idx="143">
                  <c:v>22.9903076512344</c:v>
                </c:pt>
                <c:pt idx="144">
                  <c:v>22.9865999402158</c:v>
                </c:pt>
                <c:pt idx="145">
                  <c:v>22.9828905386852</c:v>
                </c:pt>
                <c:pt idx="146">
                  <c:v>22.9791794529983</c:v>
                </c:pt>
                <c:pt idx="147">
                  <c:v>22.9754666895142</c:v>
                </c:pt>
                <c:pt idx="148">
                  <c:v>22.9717522545945</c:v>
                </c:pt>
                <c:pt idx="149">
                  <c:v>22.9680361546038</c:v>
                </c:pt>
                <c:pt idx="150">
                  <c:v>22.9643183959096</c:v>
                </c:pt>
                <c:pt idx="151">
                  <c:v>22.960598984882</c:v>
                </c:pt>
                <c:pt idx="152">
                  <c:v>22.9568779278943</c:v>
                </c:pt>
                <c:pt idx="153">
                  <c:v>22.9531552313223</c:v>
                </c:pt>
                <c:pt idx="154">
                  <c:v>22.9494309015448</c:v>
                </c:pt>
                <c:pt idx="155">
                  <c:v>22.9457049449434</c:v>
                </c:pt>
                <c:pt idx="156">
                  <c:v>22.9419773679023</c:v>
                </c:pt>
                <c:pt idx="157">
                  <c:v>22.9382481768087</c:v>
                </c:pt>
                <c:pt idx="158">
                  <c:v>22.9345173780524</c:v>
                </c:pt>
                <c:pt idx="159">
                  <c:v>22.930784978026</c:v>
                </c:pt>
                <c:pt idx="160">
                  <c:v>22.9270509831249</c:v>
                </c:pt>
                <c:pt idx="161">
                  <c:v>22.9233153997473</c:v>
                </c:pt>
                <c:pt idx="162">
                  <c:v>22.9195782342939</c:v>
                </c:pt>
                <c:pt idx="163">
                  <c:v>22.9158394931682</c:v>
                </c:pt>
                <c:pt idx="164">
                  <c:v>22.9120991827766</c:v>
                </c:pt>
                <c:pt idx="165">
                  <c:v>22.9083573095278</c:v>
                </c:pt>
                <c:pt idx="166">
                  <c:v>22.9046138798336</c:v>
                </c:pt>
                <c:pt idx="167">
                  <c:v>22.9008689001081</c:v>
                </c:pt>
                <c:pt idx="168">
                  <c:v>22.8971223767684</c:v>
                </c:pt>
                <c:pt idx="169">
                  <c:v>22.8933743162339</c:v>
                </c:pt>
                <c:pt idx="170">
                  <c:v>22.8896247249268</c:v>
                </c:pt>
                <c:pt idx="171">
                  <c:v>22.885873609272</c:v>
                </c:pt>
                <c:pt idx="172">
                  <c:v>22.882120975697</c:v>
                </c:pt>
                <c:pt idx="173">
                  <c:v>22.8783668306317</c:v>
                </c:pt>
                <c:pt idx="174">
                  <c:v>22.8746111805088</c:v>
                </c:pt>
                <c:pt idx="175">
                  <c:v>22.8708540317635</c:v>
                </c:pt>
                <c:pt idx="176">
                  <c:v>22.8670953908335</c:v>
                </c:pt>
                <c:pt idx="177">
                  <c:v>22.8633352641592</c:v>
                </c:pt>
                <c:pt idx="178">
                  <c:v>22.8595736581835</c:v>
                </c:pt>
                <c:pt idx="179">
                  <c:v>22.8558105793517</c:v>
                </c:pt>
                <c:pt idx="180">
                  <c:v>22.8520460341119</c:v>
                </c:pt>
                <c:pt idx="181">
                  <c:v>22.8482800289144</c:v>
                </c:pt>
                <c:pt idx="182">
                  <c:v>22.8445125702121</c:v>
                </c:pt>
                <c:pt idx="183">
                  <c:v>22.8407436644606</c:v>
                </c:pt>
                <c:pt idx="184">
                  <c:v>22.8369733181178</c:v>
                </c:pt>
                <c:pt idx="185">
                  <c:v>22.833201537644</c:v>
                </c:pt>
                <c:pt idx="186">
                  <c:v>22.8294283295021</c:v>
                </c:pt>
                <c:pt idx="187">
                  <c:v>22.8256537001573</c:v>
                </c:pt>
                <c:pt idx="188">
                  <c:v>22.8218776560774</c:v>
                </c:pt>
                <c:pt idx="189">
                  <c:v>22.8181002037326</c:v>
                </c:pt>
                <c:pt idx="190">
                  <c:v>22.8143213495953</c:v>
                </c:pt>
                <c:pt idx="191">
                  <c:v>22.8105411001407</c:v>
                </c:pt>
                <c:pt idx="192">
                  <c:v>22.8067594618459</c:v>
                </c:pt>
                <c:pt idx="193">
                  <c:v>22.8029764411908</c:v>
                </c:pt>
                <c:pt idx="194">
                  <c:v>22.7991920446575</c:v>
                </c:pt>
                <c:pt idx="195">
                  <c:v>22.7954062787303</c:v>
                </c:pt>
                <c:pt idx="196">
                  <c:v>22.7916191498962</c:v>
                </c:pt>
                <c:pt idx="197">
                  <c:v>22.7878306646443</c:v>
                </c:pt>
                <c:pt idx="198">
                  <c:v>22.784040829466</c:v>
                </c:pt>
                <c:pt idx="199">
                  <c:v>22.7802496508551</c:v>
                </c:pt>
                <c:pt idx="200">
                  <c:v>22.7764571353077</c:v>
                </c:pt>
              </c:numCache>
            </c:numRef>
          </c:yVal>
          <c:smooth val="1"/>
        </c:ser>
        <c:ser>
          <c:idx val="30"/>
          <c:order val="30"/>
          <c:tx>
            <c:strRef>
              <c:f>试加重示意图!$L$10024</c:f>
              <c:strCache>
                <c:ptCount val="1"/>
                <c:pt idx="0">
                  <c:v/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/>
              </c:ext>
            </c:extLst>
          </c:dLbls>
          <c:xVal>
            <c:numRef>
              <c:f>试加重示意图!$J$10411</c:f>
              <c:numCache>
                <c:formatCode>General</c:formatCode>
                <c:ptCount val="1"/>
                <c:pt idx="0">
                  <c:v>18.6740336829594</c:v>
                </c:pt>
              </c:numCache>
            </c:numRef>
          </c:xVal>
          <c:yVal>
            <c:numRef>
              <c:f>试加重示意图!$K$10411</c:f>
              <c:numCache>
                <c:formatCode>General</c:formatCode>
                <c:ptCount val="1"/>
                <c:pt idx="0">
                  <c:v>23.3776603565144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085120"/>
        <c:axId val="228095104"/>
      </c:scatterChart>
      <c:valAx>
        <c:axId val="228085120"/>
        <c:scaling>
          <c:orientation val="minMax"/>
          <c:max val="45"/>
        </c:scaling>
        <c:delete val="1"/>
        <c:axPos val="b"/>
        <c:numFmt formatCode="General" sourceLinked="1"/>
        <c:majorTickMark val="none"/>
        <c:minorTickMark val="none"/>
        <c:tickLblPos val="none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228095104"/>
        <c:crosses val="autoZero"/>
        <c:crossBetween val="midCat"/>
      </c:valAx>
      <c:valAx>
        <c:axId val="228095104"/>
        <c:scaling>
          <c:orientation val="minMax"/>
          <c:max val="45"/>
          <c:min val="0"/>
        </c:scaling>
        <c:delete val="1"/>
        <c:axPos val="l"/>
        <c:majorGridlines>
          <c:spPr>
            <a:ln w="9525" cap="flat" cmpd="sng" algn="ctr">
              <a:noFill/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one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228085120"/>
        <c:crosses val="autoZero"/>
        <c:crossBetween val="midCat"/>
      </c:valAx>
      <c:spPr>
        <a:ln>
          <a:noFill/>
        </a:ln>
      </c:spPr>
    </c:plotArea>
    <c:plotVisOnly val="0"/>
    <c:dispBlanksAs val="gap"/>
    <c:showDLblsOverMax val="0"/>
  </c:chart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4" Type="http://schemas.openxmlformats.org/officeDocument/2006/relationships/image" Target="../media/image4.wmf"/><Relationship Id="rId3" Type="http://schemas.openxmlformats.org/officeDocument/2006/relationships/image" Target="../media/image3.wmf"/><Relationship Id="rId2" Type="http://schemas.openxmlformats.org/officeDocument/2006/relationships/image" Target="../media/image2.wmf"/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2</xdr:col>
      <xdr:colOff>112395</xdr:colOff>
      <xdr:row>0</xdr:row>
      <xdr:rowOff>6350</xdr:rowOff>
    </xdr:from>
    <xdr:to>
      <xdr:col>10</xdr:col>
      <xdr:colOff>490855</xdr:colOff>
      <xdr:row>24</xdr:row>
      <xdr:rowOff>154940</xdr:rowOff>
    </xdr:to>
    <xdr:graphicFrame>
      <xdr:nvGraphicFramePr>
        <xdr:cNvPr id="3" name="图表 2"/>
        <xdr:cNvGraphicFramePr/>
      </xdr:nvGraphicFramePr>
      <xdr:xfrm>
        <a:off x="2998470" y="6350"/>
        <a:ext cx="5007610" cy="47777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11</xdr:row>
          <xdr:rowOff>123825</xdr:rowOff>
        </xdr:from>
        <xdr:to>
          <xdr:col>6</xdr:col>
          <xdr:colOff>314325</xdr:colOff>
          <xdr:row>14</xdr:row>
          <xdr:rowOff>123825</xdr:rowOff>
        </xdr:to>
        <xdr:sp>
          <xdr:nvSpPr>
            <xdr:cNvPr id="2049" name="Object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4857750" y="2009775"/>
              <a:ext cx="1933575" cy="5143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371475</xdr:colOff>
          <xdr:row>15</xdr:row>
          <xdr:rowOff>47625</xdr:rowOff>
        </xdr:from>
        <xdr:to>
          <xdr:col>6</xdr:col>
          <xdr:colOff>104775</xdr:colOff>
          <xdr:row>18</xdr:row>
          <xdr:rowOff>0</xdr:rowOff>
        </xdr:to>
        <xdr:sp>
          <xdr:nvSpPr>
            <xdr:cNvPr id="2050" name="Object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4848225" y="2619375"/>
              <a:ext cx="1733550" cy="4667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18</xdr:row>
          <xdr:rowOff>38100</xdr:rowOff>
        </xdr:from>
        <xdr:to>
          <xdr:col>5</xdr:col>
          <xdr:colOff>390525</xdr:colOff>
          <xdr:row>21</xdr:row>
          <xdr:rowOff>0</xdr:rowOff>
        </xdr:to>
        <xdr:sp>
          <xdr:nvSpPr>
            <xdr:cNvPr id="2051" name="Object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4857750" y="3124200"/>
              <a:ext cx="1343025" cy="4762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361950</xdr:colOff>
          <xdr:row>21</xdr:row>
          <xdr:rowOff>76200</xdr:rowOff>
        </xdr:from>
        <xdr:to>
          <xdr:col>6</xdr:col>
          <xdr:colOff>200025</xdr:colOff>
          <xdr:row>22</xdr:row>
          <xdr:rowOff>142875</xdr:rowOff>
        </xdr:to>
        <xdr:sp>
          <xdr:nvSpPr>
            <xdr:cNvPr id="2052" name="Object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4838700" y="3676650"/>
              <a:ext cx="1838325" cy="2381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oleObject" Target="../embeddings/oleObject4.bin"/><Relationship Id="rId8" Type="http://schemas.openxmlformats.org/officeDocument/2006/relationships/image" Target="../media/image3.wmf"/><Relationship Id="rId7" Type="http://schemas.openxmlformats.org/officeDocument/2006/relationships/oleObject" Target="../embeddings/oleObject3.bin"/><Relationship Id="rId6" Type="http://schemas.openxmlformats.org/officeDocument/2006/relationships/image" Target="../media/image2.wmf"/><Relationship Id="rId5" Type="http://schemas.openxmlformats.org/officeDocument/2006/relationships/oleObject" Target="../embeddings/oleObject2.bin"/><Relationship Id="rId4" Type="http://schemas.openxmlformats.org/officeDocument/2006/relationships/image" Target="../media/image1.wmf"/><Relationship Id="rId3" Type="http://schemas.openxmlformats.org/officeDocument/2006/relationships/oleObject" Target="../embeddings/oleObject1.bin"/><Relationship Id="rId2" Type="http://schemas.openxmlformats.org/officeDocument/2006/relationships/vmlDrawing" Target="../drawings/vmlDrawing1.vml"/><Relationship Id="rId10" Type="http://schemas.openxmlformats.org/officeDocument/2006/relationships/image" Target="../media/image4.wmf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T10411"/>
  <sheetViews>
    <sheetView zoomScale="85" zoomScaleNormal="85" topLeftCell="A7" workbookViewId="0">
      <selection activeCell="B10" sqref="B10"/>
    </sheetView>
  </sheetViews>
  <sheetFormatPr defaultColWidth="9" defaultRowHeight="13.5"/>
  <cols>
    <col min="1" max="1" width="24.375" customWidth="1"/>
    <col min="2" max="2" width="13.5" customWidth="1"/>
    <col min="3" max="3" width="6.375" customWidth="1"/>
    <col min="4" max="4" width="7" customWidth="1"/>
    <col min="5" max="5" width="4.375" customWidth="1"/>
    <col min="6" max="6" width="9.375" customWidth="1"/>
    <col min="7" max="7" width="11.75" customWidth="1"/>
    <col min="8" max="8" width="7.625" customWidth="1"/>
    <col min="9" max="9" width="5.5" customWidth="1"/>
    <col min="10" max="11" width="8.75" customWidth="1"/>
    <col min="12" max="13" width="6.875" customWidth="1"/>
    <col min="14" max="14" width="16.125" customWidth="1"/>
    <col min="15" max="17" width="6.875" customWidth="1"/>
    <col min="18" max="18" width="9.625" customWidth="1"/>
    <col min="19" max="19" width="28.875" customWidth="1"/>
    <col min="20" max="20" width="9.125" customWidth="1"/>
  </cols>
  <sheetData>
    <row r="1" spans="1:2">
      <c r="A1" s="3" t="s">
        <v>0</v>
      </c>
      <c r="B1" s="4"/>
    </row>
    <row r="2" spans="1:2">
      <c r="A2" s="4"/>
      <c r="B2" s="4"/>
    </row>
    <row r="3" spans="1:2">
      <c r="A3" t="s">
        <v>1</v>
      </c>
      <c r="B3" t="s">
        <v>2</v>
      </c>
    </row>
    <row r="4" spans="1:2">
      <c r="A4" t="s">
        <v>3</v>
      </c>
      <c r="B4" s="5">
        <v>0</v>
      </c>
    </row>
    <row r="5" spans="1:2">
      <c r="A5" t="s">
        <v>4</v>
      </c>
      <c r="B5" s="5">
        <v>100</v>
      </c>
    </row>
    <row r="6" spans="1:2">
      <c r="A6" t="s">
        <v>5</v>
      </c>
      <c r="B6" s="5">
        <v>90</v>
      </c>
    </row>
    <row r="7" spans="1:2">
      <c r="A7" s="6" t="s">
        <v>6</v>
      </c>
      <c r="B7" s="6"/>
    </row>
    <row r="8" spans="1:2">
      <c r="A8" s="7" t="s">
        <v>7</v>
      </c>
      <c r="B8" s="7" t="s">
        <v>8</v>
      </c>
    </row>
    <row r="9" spans="1:2">
      <c r="A9" s="5">
        <v>84</v>
      </c>
      <c r="B9" s="5">
        <v>65</v>
      </c>
    </row>
    <row r="10" spans="1:2">
      <c r="A10" t="s">
        <v>9</v>
      </c>
      <c r="B10" s="5">
        <v>15</v>
      </c>
    </row>
    <row r="11" spans="1:2">
      <c r="A11" s="6" t="s">
        <v>10</v>
      </c>
      <c r="B11" s="6"/>
    </row>
    <row r="12" spans="1:2">
      <c r="A12" s="7" t="s">
        <v>7</v>
      </c>
      <c r="B12" s="7" t="s">
        <v>8</v>
      </c>
    </row>
    <row r="13" spans="1:20">
      <c r="A13" s="5">
        <v>56</v>
      </c>
      <c r="B13" s="5">
        <v>212</v>
      </c>
      <c r="S13">
        <v>8000</v>
      </c>
      <c r="T13" t="s">
        <v>11</v>
      </c>
    </row>
    <row r="14" spans="1:19">
      <c r="A14" t="s">
        <v>12</v>
      </c>
      <c r="B14" s="5">
        <v>0</v>
      </c>
      <c r="S14">
        <v>9.8</v>
      </c>
    </row>
    <row r="15" spans="1:20">
      <c r="A15" t="s">
        <v>13</v>
      </c>
      <c r="B15" s="8" t="s">
        <v>14</v>
      </c>
      <c r="S15">
        <v>3000</v>
      </c>
      <c r="T15" t="s">
        <v>15</v>
      </c>
    </row>
    <row r="16" ht="27" spans="1:19">
      <c r="A16" s="9" t="s">
        <v>16</v>
      </c>
      <c r="B16" s="10">
        <f>IF(B15="只显示Y向","",MOD(H10002*200+540,360))</f>
        <v>330</v>
      </c>
      <c r="S16">
        <f>S15/60*2*PI()</f>
        <v>314.159265358979</v>
      </c>
    </row>
    <row r="17" ht="27" spans="1:20">
      <c r="A17" s="9" t="s">
        <v>17</v>
      </c>
      <c r="B17" s="10" t="str">
        <f>IF(B15="只显示X向","",MOD(K10002*200+540,360))</f>
        <v/>
      </c>
      <c r="S17">
        <v>0.49</v>
      </c>
      <c r="T17" t="s">
        <v>18</v>
      </c>
    </row>
    <row r="18" spans="1:20">
      <c r="A18" t="s">
        <v>11</v>
      </c>
      <c r="B18" s="5">
        <v>60000</v>
      </c>
      <c r="S18">
        <v>500</v>
      </c>
      <c r="T18" t="s">
        <v>19</v>
      </c>
    </row>
    <row r="19" spans="1:20">
      <c r="A19" t="s">
        <v>20</v>
      </c>
      <c r="B19" s="5">
        <v>600</v>
      </c>
      <c r="S19">
        <v>190</v>
      </c>
      <c r="T19" t="s">
        <v>21</v>
      </c>
    </row>
    <row r="20" spans="1:20">
      <c r="A20" t="s">
        <v>22</v>
      </c>
      <c r="B20" s="5">
        <v>1300</v>
      </c>
      <c r="S20">
        <f>S19*S13*S14/(S16^2*S17*S18)</f>
        <v>0.616032796545414</v>
      </c>
      <c r="T20" t="s">
        <v>23</v>
      </c>
    </row>
    <row r="21" spans="1:2">
      <c r="A21" t="s">
        <v>24</v>
      </c>
      <c r="B21" s="5">
        <v>8000</v>
      </c>
    </row>
    <row r="22" spans="1:2">
      <c r="A22" t="s">
        <v>25</v>
      </c>
      <c r="B22" s="11">
        <f>0.001*(B19/60*2*PI())^2*B20/1000/9.8</f>
        <v>0.52369329475168</v>
      </c>
    </row>
    <row r="23" spans="1:2">
      <c r="A23" t="s">
        <v>26</v>
      </c>
      <c r="B23" s="11">
        <f>B22*B21</f>
        <v>4189.54635801344</v>
      </c>
    </row>
    <row r="24" ht="27" spans="1:2">
      <c r="A24" s="9" t="s">
        <v>27</v>
      </c>
      <c r="B24" s="11">
        <f>B23/B18*100</f>
        <v>6.98257726335574</v>
      </c>
    </row>
    <row r="222" spans="19:19">
      <c r="S222" s="12"/>
    </row>
    <row r="10000" spans="1:1">
      <c r="A10000" s="1" t="s">
        <v>28</v>
      </c>
    </row>
    <row r="10001" spans="1:18">
      <c r="A10001">
        <v>0</v>
      </c>
      <c r="B10001">
        <f t="shared" ref="B10001:B10064" si="0">COS(A10001/180*PI())*$E$10001+$E$10002</f>
        <v>37</v>
      </c>
      <c r="C10001">
        <f t="shared" ref="C10001:C10064" si="1">SIN(A10001/180*PI())*$E$10001+$E$10003</f>
        <v>22</v>
      </c>
      <c r="D10001" t="s">
        <v>29</v>
      </c>
      <c r="E10001" s="5">
        <v>15</v>
      </c>
      <c r="F10001" s="1"/>
      <c r="G10001" s="1" t="s">
        <v>30</v>
      </c>
      <c r="H10001" s="1"/>
      <c r="I10001" s="1"/>
      <c r="J10001" s="1" t="s">
        <v>31</v>
      </c>
      <c r="K10001" s="1"/>
      <c r="L10001" t="s">
        <v>1</v>
      </c>
      <c r="R10001" t="str">
        <f>B3</f>
        <v>顺时针</v>
      </c>
    </row>
    <row r="10002" spans="1:18">
      <c r="A10002">
        <f>A10001+1</f>
        <v>1</v>
      </c>
      <c r="B10002">
        <f t="shared" si="0"/>
        <v>36.9977154273459</v>
      </c>
      <c r="C10002">
        <f t="shared" si="1"/>
        <v>22.2617860965593</v>
      </c>
      <c r="D10002" t="s">
        <v>32</v>
      </c>
      <c r="E10002" s="5">
        <v>22</v>
      </c>
      <c r="F10002" s="5">
        <f>MOD(R10002+720,360)</f>
        <v>0</v>
      </c>
      <c r="G10002" s="5">
        <f>MOD(R10003-E10006*(R10007-R10008)+720,360)</f>
        <v>150</v>
      </c>
      <c r="H10002" s="5">
        <f>MOD(IF(E10006=1,F10002-G10002+720,720-F10002+G10002),360)/200</f>
        <v>0.75</v>
      </c>
      <c r="I10002" s="5">
        <f>MOD(R10002+720,360)</f>
        <v>0</v>
      </c>
      <c r="J10002" s="5">
        <f>MOD(R10004-E10006*(R10011-R10012)+720,360)</f>
        <v>150</v>
      </c>
      <c r="K10002" s="5">
        <f>MOD(IF(E10006=1,I10002-J10002+720,720-I10002+J10002),360)/200</f>
        <v>0.75</v>
      </c>
      <c r="L10002" t="s">
        <v>33</v>
      </c>
      <c r="R10002">
        <f>B4</f>
        <v>0</v>
      </c>
    </row>
    <row r="10003" spans="1:18">
      <c r="A10003">
        <f t="shared" ref="A10003:A10022" si="2">A10002+1</f>
        <v>2</v>
      </c>
      <c r="B10003">
        <f t="shared" si="0"/>
        <v>36.9908624052864</v>
      </c>
      <c r="C10003">
        <f t="shared" si="1"/>
        <v>22.5234924505375</v>
      </c>
      <c r="D10003" t="s">
        <v>34</v>
      </c>
      <c r="E10003" s="5">
        <v>22</v>
      </c>
      <c r="F10003" s="13" t="s">
        <v>35</v>
      </c>
      <c r="G10003" s="5" t="str">
        <f>MOD(H10002*200,360)&amp;"°"</f>
        <v>150°</v>
      </c>
      <c r="H10003" s="5"/>
      <c r="I10003" s="13" t="s">
        <v>35</v>
      </c>
      <c r="J10003" s="5" t="str">
        <f>MOD(K10002*200,360)&amp;"°"</f>
        <v>150°</v>
      </c>
      <c r="K10003" s="5"/>
      <c r="L10003" t="s">
        <v>36</v>
      </c>
      <c r="R10003">
        <f>IF($B$15="只显示Y向",B6,B5)</f>
        <v>100</v>
      </c>
    </row>
    <row r="10004" spans="1:18">
      <c r="A10004">
        <f t="shared" si="2"/>
        <v>3</v>
      </c>
      <c r="B10004">
        <f t="shared" si="0"/>
        <v>36.9794430213186</v>
      </c>
      <c r="C10004">
        <f t="shared" si="1"/>
        <v>22.7850393436442</v>
      </c>
      <c r="D10004" t="s">
        <v>37</v>
      </c>
      <c r="E10004" s="5">
        <v>1.4</v>
      </c>
      <c r="F10004" s="12">
        <f>MOD(F10002,360)</f>
        <v>0</v>
      </c>
      <c r="G10004" s="12">
        <f>COS(F10004/180*PI())*$E$10001*$R$10019+$E$10002</f>
        <v>24.25</v>
      </c>
      <c r="H10004" s="12">
        <f>SIN(F10004/180*PI())*$E$10001*$R$10019+$E$10003</f>
        <v>22</v>
      </c>
      <c r="I10004" s="12">
        <f>MOD(I10002,360)</f>
        <v>0</v>
      </c>
      <c r="J10004" s="12">
        <f>COS(I10004/180*PI())*$E$10001*$R$10023+$E$10002</f>
        <v>24.25</v>
      </c>
      <c r="K10004" s="12">
        <f>SIN(I10004/180*PI())*$E$10001*$R$10023+$E$10003</f>
        <v>22</v>
      </c>
      <c r="L10004" t="s">
        <v>38</v>
      </c>
      <c r="R10004">
        <f>IF($B$15="只显示X向",B5,B6)</f>
        <v>100</v>
      </c>
    </row>
    <row r="10005" spans="1:18">
      <c r="A10005">
        <f t="shared" si="2"/>
        <v>4</v>
      </c>
      <c r="B10005">
        <f t="shared" si="0"/>
        <v>36.9634607538974</v>
      </c>
      <c r="C10005">
        <f t="shared" si="1"/>
        <v>23.0463471061619</v>
      </c>
      <c r="D10005" t="s">
        <v>39</v>
      </c>
      <c r="E10005" s="5">
        <f>IF(R10001="顺时针",115,65)</f>
        <v>115</v>
      </c>
      <c r="F10005" s="12">
        <f t="shared" ref="F10005:F10036" si="3">MOD(F10004-$E$10006*$H$10002,360)</f>
        <v>0.75</v>
      </c>
      <c r="G10005" s="12">
        <f>COS(F10005/180*PI())*$E$10001*$R$10019+$E$10002</f>
        <v>24.2498072370415</v>
      </c>
      <c r="H10005" s="12">
        <f>SIN(F10005/180*PI())*$E$10001*$R$10019+$E$10003</f>
        <v>22.0294515900355</v>
      </c>
      <c r="I10005" s="12">
        <f t="shared" ref="I10005:I10036" si="4">MOD(I10004-$E$10006*$K$10002,360)</f>
        <v>0.75</v>
      </c>
      <c r="J10005" s="12">
        <f t="shared" ref="J10005:J10013" si="5">COS(I10005/180*PI())*$E$10001*$R$10023+$E$10002</f>
        <v>24.2498072370415</v>
      </c>
      <c r="K10005" s="12">
        <f t="shared" ref="K10005:K10013" si="6">SIN(I10005/180*PI())*$E$10001*$R$10023+$E$10003</f>
        <v>22.0294515900355</v>
      </c>
      <c r="L10005" s="1" t="s">
        <v>6</v>
      </c>
      <c r="M10005" s="1"/>
      <c r="N10005" s="1"/>
      <c r="O10005" s="1"/>
      <c r="P10005" s="1"/>
      <c r="Q10005" s="1"/>
      <c r="R10005" s="1"/>
    </row>
    <row r="10006" spans="1:18">
      <c r="A10006">
        <f t="shared" si="2"/>
        <v>5</v>
      </c>
      <c r="B10006">
        <f t="shared" si="0"/>
        <v>36.9429204713762</v>
      </c>
      <c r="C10006">
        <f t="shared" si="1"/>
        <v>23.3073361412149</v>
      </c>
      <c r="D10006" t="s">
        <v>40</v>
      </c>
      <c r="E10006" s="5">
        <f>IF(R10001="顺时针",-1,1)</f>
        <v>-1</v>
      </c>
      <c r="F10006" s="12">
        <f t="shared" si="3"/>
        <v>1.5</v>
      </c>
      <c r="G10006" s="12">
        <f t="shared" ref="G10006:G10069" si="7">COS(F10006/180*PI())*$E$10001*$R$10019+$E$10002</f>
        <v>24.249228981195</v>
      </c>
      <c r="H10006" s="12">
        <f t="shared" ref="H10006:H10069" si="8">SIN(F10006/180*PI())*$E$10001*$R$10019+$E$10003</f>
        <v>22.0588981336927</v>
      </c>
      <c r="I10006" s="12">
        <f t="shared" si="4"/>
        <v>1.5</v>
      </c>
      <c r="J10006" s="12">
        <f t="shared" si="5"/>
        <v>24.249228981195</v>
      </c>
      <c r="K10006" s="12">
        <f t="shared" si="6"/>
        <v>22.0588981336927</v>
      </c>
      <c r="L10006" s="1" t="s">
        <v>41</v>
      </c>
      <c r="M10006" s="1"/>
      <c r="N10006" s="1"/>
      <c r="O10006" s="1"/>
      <c r="P10006" s="1"/>
      <c r="Q10006" s="1"/>
      <c r="R10006" s="1" t="s">
        <v>42</v>
      </c>
    </row>
    <row r="10007" spans="1:18">
      <c r="A10007">
        <f t="shared" si="2"/>
        <v>6</v>
      </c>
      <c r="B10007">
        <f t="shared" si="0"/>
        <v>36.9178284305241</v>
      </c>
      <c r="C10007">
        <f t="shared" si="1"/>
        <v>23.5679269490148</v>
      </c>
      <c r="D10007" t="s">
        <v>43</v>
      </c>
      <c r="E10007" s="5">
        <v>1</v>
      </c>
      <c r="F10007" s="12">
        <f t="shared" si="3"/>
        <v>2.25</v>
      </c>
      <c r="G10007" s="12">
        <f t="shared" si="7"/>
        <v>24.2482653315416</v>
      </c>
      <c r="H10007" s="12">
        <f t="shared" si="8"/>
        <v>22.0883345854579</v>
      </c>
      <c r="I10007" s="12">
        <f t="shared" si="4"/>
        <v>2.25</v>
      </c>
      <c r="J10007" s="12">
        <f t="shared" si="5"/>
        <v>24.2482653315416</v>
      </c>
      <c r="K10007" s="12">
        <f t="shared" si="6"/>
        <v>22.0883345854579</v>
      </c>
      <c r="L10007">
        <f>IF($B$15="只显示Y向",A13,A9)</f>
        <v>84</v>
      </c>
      <c r="R10007">
        <f>IF($B$15="只显示Y向",B13,B9)</f>
        <v>65</v>
      </c>
    </row>
    <row r="10008" spans="1:18">
      <c r="A10008">
        <f t="shared" si="2"/>
        <v>7</v>
      </c>
      <c r="B10008">
        <f t="shared" si="0"/>
        <v>36.8881922746198</v>
      </c>
      <c r="C10008">
        <f t="shared" si="1"/>
        <v>23.8280401510772</v>
      </c>
      <c r="D10008" t="s">
        <v>44</v>
      </c>
      <c r="E10008" s="5">
        <v>2</v>
      </c>
      <c r="F10008" s="12">
        <f t="shared" si="3"/>
        <v>3</v>
      </c>
      <c r="G10008" s="12">
        <f t="shared" si="7"/>
        <v>24.2469164531978</v>
      </c>
      <c r="H10008" s="12">
        <f t="shared" si="8"/>
        <v>22.1177559015466</v>
      </c>
      <c r="I10008" s="12">
        <f t="shared" si="4"/>
        <v>3</v>
      </c>
      <c r="J10008" s="12">
        <f t="shared" si="5"/>
        <v>24.2469164531978</v>
      </c>
      <c r="K10008" s="12">
        <f t="shared" si="6"/>
        <v>22.1177559015466</v>
      </c>
      <c r="L10008" t="s">
        <v>45</v>
      </c>
      <c r="R10008">
        <f>IF($B$15="只显示Y向",B14,B10)</f>
        <v>15</v>
      </c>
    </row>
    <row r="10009" spans="1:18">
      <c r="A10009">
        <f t="shared" si="2"/>
        <v>8</v>
      </c>
      <c r="B10009">
        <f t="shared" si="0"/>
        <v>36.8540210311236</v>
      </c>
      <c r="C10009">
        <f t="shared" si="1"/>
        <v>24.087596514401</v>
      </c>
      <c r="D10009" t="s">
        <v>46</v>
      </c>
      <c r="E10009" s="5">
        <v>2</v>
      </c>
      <c r="F10009" s="12">
        <f t="shared" si="3"/>
        <v>3.75</v>
      </c>
      <c r="G10009" s="12">
        <f t="shared" si="7"/>
        <v>24.2451825772869</v>
      </c>
      <c r="H10009" s="12">
        <f t="shared" si="8"/>
        <v>22.1471570407678</v>
      </c>
      <c r="I10009" s="12">
        <f t="shared" si="4"/>
        <v>3.75</v>
      </c>
      <c r="J10009" s="12">
        <f t="shared" si="5"/>
        <v>24.2451825772869</v>
      </c>
      <c r="K10009" s="12">
        <f t="shared" si="6"/>
        <v>22.1471570407678</v>
      </c>
      <c r="L10009" s="1" t="s">
        <v>10</v>
      </c>
      <c r="M10009" s="1"/>
      <c r="N10009" s="1"/>
      <c r="O10009" s="1"/>
      <c r="P10009" s="1"/>
      <c r="Q10009" s="1"/>
      <c r="R10009" s="1"/>
    </row>
    <row r="10010" spans="1:18">
      <c r="A10010">
        <f t="shared" si="2"/>
        <v>9</v>
      </c>
      <c r="B10010">
        <f t="shared" si="0"/>
        <v>36.8153251089271</v>
      </c>
      <c r="C10010">
        <f t="shared" si="1"/>
        <v>24.3465169756035</v>
      </c>
      <c r="D10010">
        <f t="shared" ref="D10010:D10055" si="9">COS((A10001*$E$10006+$E$10005)/180*PI())*$E$10001*$E$10004+$E$10002</f>
        <v>13.1250165034453</v>
      </c>
      <c r="E10010">
        <f t="shared" ref="E10010:E10055" si="10">SIN((A10001*$E$10006+$E$10005)/180*PI())*$E$10001*$E$10004+$E$10003</f>
        <v>41.0324635277697</v>
      </c>
      <c r="F10010" s="12">
        <f t="shared" si="3"/>
        <v>4.5</v>
      </c>
      <c r="G10010" s="12">
        <f t="shared" si="7"/>
        <v>24.2430640008995</v>
      </c>
      <c r="H10010" s="12">
        <f t="shared" si="8"/>
        <v>22.1765329653877</v>
      </c>
      <c r="I10010" s="12">
        <f t="shared" si="4"/>
        <v>4.5</v>
      </c>
      <c r="J10010" s="12">
        <f t="shared" si="5"/>
        <v>24.2430640008995</v>
      </c>
      <c r="K10010" s="12">
        <f t="shared" si="6"/>
        <v>22.1765329653877</v>
      </c>
      <c r="L10010" s="1" t="s">
        <v>41</v>
      </c>
      <c r="M10010" s="1"/>
      <c r="N10010" s="1"/>
      <c r="O10010" s="1"/>
      <c r="P10010" s="1"/>
      <c r="Q10010" s="1"/>
      <c r="R10010" s="1" t="s">
        <v>42</v>
      </c>
    </row>
    <row r="10011" spans="1:18">
      <c r="A10011">
        <f t="shared" si="2"/>
        <v>10</v>
      </c>
      <c r="B10011">
        <f t="shared" si="0"/>
        <v>36.7721162951831</v>
      </c>
      <c r="C10011">
        <f t="shared" si="1"/>
        <v>24.604722665004</v>
      </c>
      <c r="D10011">
        <f t="shared" si="9"/>
        <v>13.4585304954082</v>
      </c>
      <c r="E10011">
        <f t="shared" si="10"/>
        <v>41.1844546104946</v>
      </c>
      <c r="F10011" s="12">
        <f t="shared" si="3"/>
        <v>5.25</v>
      </c>
      <c r="G10011" s="12">
        <f t="shared" si="7"/>
        <v>24.240561087043</v>
      </c>
      <c r="H10011" s="12">
        <f t="shared" si="8"/>
        <v>22.2058786419927</v>
      </c>
      <c r="I10011" s="12">
        <f t="shared" si="4"/>
        <v>5.25</v>
      </c>
      <c r="J10011" s="12">
        <f t="shared" si="5"/>
        <v>24.240561087043</v>
      </c>
      <c r="K10011" s="12">
        <f t="shared" si="6"/>
        <v>22.2058786419927</v>
      </c>
      <c r="L10011">
        <f>IF($B$15="只显示X向",A9,A13)</f>
        <v>84</v>
      </c>
      <c r="R10011">
        <f>IF($B$15="只显示X向",B9,B13)</f>
        <v>65</v>
      </c>
    </row>
    <row r="10012" spans="1:18">
      <c r="A10012">
        <f t="shared" si="2"/>
        <v>11</v>
      </c>
      <c r="B10012">
        <f t="shared" si="0"/>
        <v>36.724407751715</v>
      </c>
      <c r="C10012">
        <f t="shared" si="1"/>
        <v>24.8621349306482</v>
      </c>
      <c r="D10012">
        <f t="shared" si="9"/>
        <v>13.7946463017253</v>
      </c>
      <c r="E10012">
        <f t="shared" si="10"/>
        <v>41.3306019225012</v>
      </c>
      <c r="F10012" s="12">
        <f t="shared" si="3"/>
        <v>6</v>
      </c>
      <c r="G10012" s="12">
        <f t="shared" si="7"/>
        <v>24.2376742645786</v>
      </c>
      <c r="H10012" s="12">
        <f t="shared" si="8"/>
        <v>22.2351890423522</v>
      </c>
      <c r="I10012" s="12">
        <f t="shared" si="4"/>
        <v>6</v>
      </c>
      <c r="J10012" s="12">
        <f t="shared" si="5"/>
        <v>24.2376742645786</v>
      </c>
      <c r="K10012" s="12">
        <f t="shared" si="6"/>
        <v>22.2351890423522</v>
      </c>
      <c r="L10012" t="s">
        <v>47</v>
      </c>
      <c r="R10012">
        <f>IF($B$15="只显示X向",B10,B14)</f>
        <v>15</v>
      </c>
    </row>
    <row r="10013" spans="1:11">
      <c r="A10013">
        <f t="shared" si="2"/>
        <v>12</v>
      </c>
      <c r="B10013">
        <f t="shared" si="0"/>
        <v>36.6722140110071</v>
      </c>
      <c r="C10013">
        <f t="shared" si="1"/>
        <v>25.1186753622664</v>
      </c>
      <c r="D10013">
        <f t="shared" si="9"/>
        <v>14.1332615382658</v>
      </c>
      <c r="E10013">
        <f t="shared" si="10"/>
        <v>41.4708609459025</v>
      </c>
      <c r="F10013" s="12">
        <f t="shared" si="3"/>
        <v>6.75</v>
      </c>
      <c r="G10013" s="12">
        <f t="shared" si="7"/>
        <v>24.2344040281486</v>
      </c>
      <c r="H10013" s="12">
        <f t="shared" si="8"/>
        <v>22.2644591442801</v>
      </c>
      <c r="I10013" s="12">
        <f t="shared" si="4"/>
        <v>6.75</v>
      </c>
      <c r="J10013" s="12">
        <f t="shared" si="5"/>
        <v>24.2344040281486</v>
      </c>
      <c r="K10013" s="12">
        <f t="shared" si="6"/>
        <v>22.2644591442801</v>
      </c>
    </row>
    <row r="10014" spans="1:18">
      <c r="A10014">
        <f t="shared" si="2"/>
        <v>13</v>
      </c>
      <c r="B10014">
        <f t="shared" si="0"/>
        <v>36.6155509717785</v>
      </c>
      <c r="C10014">
        <f t="shared" si="1"/>
        <v>25.374265815158</v>
      </c>
      <c r="D10014">
        <f t="shared" si="9"/>
        <v>14.4742730595487</v>
      </c>
      <c r="E10014">
        <f t="shared" si="10"/>
        <v>41.6051889564412</v>
      </c>
      <c r="F10014" s="12">
        <f t="shared" si="3"/>
        <v>7.5</v>
      </c>
      <c r="G10014" s="12">
        <f t="shared" si="7"/>
        <v>24.2307509380911</v>
      </c>
      <c r="H10014" s="12">
        <f t="shared" si="8"/>
        <v>22.2936839324951</v>
      </c>
      <c r="I10014" s="12">
        <f t="shared" si="4"/>
        <v>7.5</v>
      </c>
      <c r="J10014" s="12">
        <f t="shared" ref="J10014:J10077" si="11">COS(I10014/180*PI())*$E$10001*$R$10023+$E$10002</f>
        <v>24.2307509380911</v>
      </c>
      <c r="K10014" s="12">
        <f t="shared" ref="K10014:K10077" si="12">SIN(I10014/180*PI())*$E$10001*$R$10023+$E$10003</f>
        <v>22.2936839324951</v>
      </c>
      <c r="R10014" t="str">
        <f>B19&amp;"rpm"</f>
        <v>600rpm</v>
      </c>
    </row>
    <row r="10015" spans="1:12">
      <c r="A10015">
        <f t="shared" si="2"/>
        <v>14</v>
      </c>
      <c r="B10015">
        <f t="shared" si="0"/>
        <v>36.5544358941399</v>
      </c>
      <c r="C10015">
        <f t="shared" si="1"/>
        <v>25.628828433995</v>
      </c>
      <c r="D10015">
        <f t="shared" si="9"/>
        <v>14.817576990161</v>
      </c>
      <c r="E10015">
        <f t="shared" si="10"/>
        <v>41.7335450365041</v>
      </c>
      <c r="F10015" s="12">
        <f t="shared" si="3"/>
        <v>8.25</v>
      </c>
      <c r="G10015" s="12">
        <f t="shared" si="7"/>
        <v>24.2267156203443</v>
      </c>
      <c r="H10015" s="12">
        <f t="shared" si="8"/>
        <v>22.3228583994802</v>
      </c>
      <c r="I10015" s="12">
        <f t="shared" si="4"/>
        <v>8.25</v>
      </c>
      <c r="J10015" s="12">
        <f t="shared" si="11"/>
        <v>24.2267156203443</v>
      </c>
      <c r="K10015" s="12">
        <f t="shared" si="12"/>
        <v>22.3228583994802</v>
      </c>
      <c r="L10015" t="str">
        <f>IF($B$15="只显示Y向","","X向")</f>
        <v>X向</v>
      </c>
    </row>
    <row r="10016" spans="1:18">
      <c r="A10016">
        <f t="shared" si="2"/>
        <v>15</v>
      </c>
      <c r="B10016">
        <f t="shared" si="0"/>
        <v>36.488887394336</v>
      </c>
      <c r="C10016">
        <f t="shared" si="1"/>
        <v>25.8822856765378</v>
      </c>
      <c r="D10016">
        <f t="shared" si="9"/>
        <v>15.1630687563997</v>
      </c>
      <c r="E10016">
        <f t="shared" si="10"/>
        <v>41.8558900875856</v>
      </c>
      <c r="F10016" s="12">
        <f t="shared" si="3"/>
        <v>9</v>
      </c>
      <c r="G10016" s="12">
        <f t="shared" si="7"/>
        <v>24.2222987663391</v>
      </c>
      <c r="H10016" s="12">
        <f t="shared" si="8"/>
        <v>22.3519775463405</v>
      </c>
      <c r="I10016" s="12">
        <f t="shared" si="4"/>
        <v>9</v>
      </c>
      <c r="J10016" s="12">
        <f t="shared" si="11"/>
        <v>24.2222987663391</v>
      </c>
      <c r="K10016" s="12">
        <f t="shared" si="12"/>
        <v>22.3519775463405</v>
      </c>
      <c r="L10016" t="str">
        <f>IF($B$15="只显示Y向","","Px")</f>
        <v>Px</v>
      </c>
      <c r="R10016" t="s">
        <v>48</v>
      </c>
    </row>
    <row r="10017" spans="1:18">
      <c r="A10017">
        <f t="shared" si="2"/>
        <v>16</v>
      </c>
      <c r="B10017">
        <f t="shared" si="0"/>
        <v>36.4189254390748</v>
      </c>
      <c r="C10017">
        <f t="shared" si="1"/>
        <v>26.134560337255</v>
      </c>
      <c r="D10017">
        <f t="shared" si="9"/>
        <v>15.5106431181261</v>
      </c>
      <c r="E10017">
        <f t="shared" si="10"/>
        <v>41.9721868421982</v>
      </c>
      <c r="F10017" s="12">
        <f t="shared" si="3"/>
        <v>9.75</v>
      </c>
      <c r="G10017" s="12">
        <f t="shared" si="7"/>
        <v>24.2175011328807</v>
      </c>
      <c r="H10017" s="12">
        <f t="shared" si="8"/>
        <v>22.3810363836603</v>
      </c>
      <c r="I10017" s="12">
        <f t="shared" si="4"/>
        <v>9.75</v>
      </c>
      <c r="J10017" s="12">
        <f t="shared" si="11"/>
        <v>24.2175011328807</v>
      </c>
      <c r="K10017" s="12">
        <f t="shared" si="12"/>
        <v>22.3810363836603</v>
      </c>
      <c r="L10017" t="str">
        <f>IF($B$15="只显示Y向","","Ax")</f>
        <v>Ax</v>
      </c>
      <c r="R10017">
        <f>IF($B$15="只显示Y向",0.45,0.2)</f>
        <v>0.2</v>
      </c>
    </row>
    <row r="10018" spans="1:18">
      <c r="A10018">
        <f t="shared" si="2"/>
        <v>17</v>
      </c>
      <c r="B10018">
        <f t="shared" si="0"/>
        <v>36.3445713394455</v>
      </c>
      <c r="C10018">
        <f t="shared" si="1"/>
        <v>26.3855755708411</v>
      </c>
      <c r="D10018">
        <f t="shared" si="9"/>
        <v>15.8601942008225</v>
      </c>
      <c r="E10018">
        <f t="shared" si="10"/>
        <v>42.0823998752237</v>
      </c>
      <c r="F10018" s="12">
        <f t="shared" si="3"/>
        <v>10.5</v>
      </c>
      <c r="G10018" s="12">
        <f t="shared" si="7"/>
        <v>24.2123235420189</v>
      </c>
      <c r="H10018" s="12">
        <f t="shared" si="8"/>
        <v>22.4100299323573</v>
      </c>
      <c r="I10018" s="12">
        <f t="shared" si="4"/>
        <v>10.5</v>
      </c>
      <c r="J10018" s="12">
        <f t="shared" si="11"/>
        <v>24.2123235420189</v>
      </c>
      <c r="K10018" s="12">
        <f t="shared" si="12"/>
        <v>22.4100299323573</v>
      </c>
      <c r="L10018" t="str">
        <f>IF($B$15="只显示Y向","",G10003)</f>
        <v>150°</v>
      </c>
      <c r="R10018" t="s">
        <v>49</v>
      </c>
    </row>
    <row r="10019" spans="1:18">
      <c r="A10019">
        <f t="shared" si="2"/>
        <v>18</v>
      </c>
      <c r="B10019">
        <f t="shared" si="0"/>
        <v>36.2658477444273</v>
      </c>
      <c r="C10019">
        <f t="shared" si="1"/>
        <v>26.6352549156242</v>
      </c>
      <c r="D10019">
        <f t="shared" si="9"/>
        <v>16.211615527843</v>
      </c>
      <c r="E10019">
        <f t="shared" si="10"/>
        <v>42.1864956147047</v>
      </c>
      <c r="F10019" s="12">
        <f t="shared" si="3"/>
        <v>11.25</v>
      </c>
      <c r="G10019" s="12">
        <f t="shared" si="7"/>
        <v>24.2067668809073</v>
      </c>
      <c r="H10019" s="12">
        <f t="shared" si="8"/>
        <v>22.4389532245363</v>
      </c>
      <c r="I10019" s="12">
        <f t="shared" si="4"/>
        <v>11.25</v>
      </c>
      <c r="J10019" s="12">
        <f t="shared" si="11"/>
        <v>24.2067668809073</v>
      </c>
      <c r="K10019" s="12">
        <f t="shared" si="12"/>
        <v>22.4389532245363</v>
      </c>
      <c r="L10019" t="str">
        <f>IF($B$15="只显示Y向","",G10208)</f>
        <v>15°</v>
      </c>
      <c r="R10019">
        <f>IF($B$15="只显示Y向",0.4,0.15)</f>
        <v>0.15</v>
      </c>
    </row>
    <row r="10020" spans="1:18">
      <c r="A10020">
        <f t="shared" si="2"/>
        <v>19</v>
      </c>
      <c r="B10020">
        <f t="shared" si="0"/>
        <v>36.1827786339898</v>
      </c>
      <c r="C10020">
        <f t="shared" si="1"/>
        <v>26.8835223168574</v>
      </c>
      <c r="D10020">
        <f t="shared" si="9"/>
        <v>16.5648000528471</v>
      </c>
      <c r="E10020">
        <f t="shared" si="10"/>
        <v>42.2844423520704</v>
      </c>
      <c r="F10020" s="12">
        <f t="shared" si="3"/>
        <v>12</v>
      </c>
      <c r="G10020" s="12">
        <f t="shared" si="7"/>
        <v>24.2008321016511</v>
      </c>
      <c r="H10020" s="12">
        <f t="shared" si="8"/>
        <v>22.46780130434</v>
      </c>
      <c r="I10020" s="12">
        <f t="shared" si="4"/>
        <v>12</v>
      </c>
      <c r="J10020" s="12">
        <f t="shared" si="11"/>
        <v>24.2008321016511</v>
      </c>
      <c r="K10020" s="12">
        <f t="shared" si="12"/>
        <v>22.46780130434</v>
      </c>
      <c r="L10020" t="str">
        <f>IF($B$15="只显示X向","","Y向")</f>
        <v/>
      </c>
      <c r="R10020" t="s">
        <v>50</v>
      </c>
    </row>
    <row r="10021" spans="1:18">
      <c r="A10021">
        <f t="shared" si="2"/>
        <v>20</v>
      </c>
      <c r="B10021">
        <f t="shared" si="0"/>
        <v>36.0953893117886</v>
      </c>
      <c r="C10021">
        <f t="shared" si="1"/>
        <v>27.130302149885</v>
      </c>
      <c r="D10021">
        <f t="shared" si="9"/>
        <v>16.919640192407</v>
      </c>
      <c r="E10021">
        <f t="shared" si="10"/>
        <v>42.3762102517959</v>
      </c>
      <c r="F10021" s="12">
        <f t="shared" si="3"/>
        <v>12.75</v>
      </c>
      <c r="G10021" s="12">
        <f t="shared" si="7"/>
        <v>24.1945202211442</v>
      </c>
      <c r="H10021" s="12">
        <f t="shared" si="8"/>
        <v>22.4965692287984</v>
      </c>
      <c r="I10021" s="12">
        <f t="shared" si="4"/>
        <v>12.75</v>
      </c>
      <c r="J10021" s="12">
        <f t="shared" si="11"/>
        <v>24.1945202211442</v>
      </c>
      <c r="K10021" s="12">
        <f t="shared" si="12"/>
        <v>22.4965692287984</v>
      </c>
      <c r="L10021" t="str">
        <f>IF($B$15="只显示X向","","Py")</f>
        <v/>
      </c>
      <c r="R10021">
        <f>IF($B$15="只显示X向",0.2,0.45)</f>
        <v>0.2</v>
      </c>
    </row>
    <row r="10022" spans="1:18">
      <c r="A10022">
        <f t="shared" si="2"/>
        <v>21</v>
      </c>
      <c r="B10022">
        <f t="shared" si="0"/>
        <v>36.003706397458</v>
      </c>
      <c r="C10022">
        <f t="shared" si="1"/>
        <v>27.3755192431795</v>
      </c>
      <c r="D10022">
        <f t="shared" si="9"/>
        <v>17.2760278587788</v>
      </c>
      <c r="E10022">
        <f t="shared" si="10"/>
        <v>42.4617713604899</v>
      </c>
      <c r="F10022" s="12">
        <f t="shared" si="3"/>
        <v>13.5</v>
      </c>
      <c r="G10022" s="12">
        <f t="shared" si="7"/>
        <v>24.1878323208948</v>
      </c>
      <c r="H10022" s="12">
        <f t="shared" si="8"/>
        <v>22.5252520686758</v>
      </c>
      <c r="I10022" s="12">
        <f t="shared" si="4"/>
        <v>13.5</v>
      </c>
      <c r="J10022" s="12">
        <f t="shared" si="11"/>
        <v>24.1878323208948</v>
      </c>
      <c r="K10022" s="12">
        <f t="shared" si="12"/>
        <v>22.5252520686758</v>
      </c>
      <c r="L10022" t="str">
        <f>IF($B$15="只显示X向","","Ay")</f>
        <v/>
      </c>
      <c r="R10022" t="s">
        <v>51</v>
      </c>
    </row>
    <row r="10023" spans="1:18">
      <c r="A10023">
        <f t="shared" ref="A10023:A10086" si="13">A10022+1</f>
        <v>22</v>
      </c>
      <c r="B10023">
        <f t="shared" si="0"/>
        <v>35.9077578185018</v>
      </c>
      <c r="C10023">
        <f t="shared" si="1"/>
        <v>27.6190989012387</v>
      </c>
      <c r="D10023">
        <f t="shared" si="9"/>
        <v>17.6338544928271</v>
      </c>
      <c r="E10023">
        <f t="shared" si="10"/>
        <v>42.5410996154099</v>
      </c>
      <c r="F10023" s="12">
        <f t="shared" si="3"/>
        <v>14.25</v>
      </c>
      <c r="G10023" s="12">
        <f t="shared" si="7"/>
        <v>24.1807695468402</v>
      </c>
      <c r="H10023" s="12">
        <f t="shared" si="8"/>
        <v>22.5538449093152</v>
      </c>
      <c r="I10023" s="12">
        <f t="shared" si="4"/>
        <v>14.25</v>
      </c>
      <c r="J10023" s="12">
        <f t="shared" si="11"/>
        <v>24.1807695468402</v>
      </c>
      <c r="K10023" s="12">
        <f t="shared" si="12"/>
        <v>22.5538449093152</v>
      </c>
      <c r="L10023" t="str">
        <f>IF($B$15="只显示X向","",J10003)</f>
        <v/>
      </c>
      <c r="R10023">
        <f>IF($B$15="只显示X向",0.15,0.4)</f>
        <v>0.15</v>
      </c>
    </row>
    <row r="10024" spans="1:12">
      <c r="A10024">
        <f t="shared" si="13"/>
        <v>23</v>
      </c>
      <c r="B10024">
        <f t="shared" si="0"/>
        <v>35.8075728017866</v>
      </c>
      <c r="C10024">
        <f t="shared" si="1"/>
        <v>27.8609669273391</v>
      </c>
      <c r="D10024">
        <f t="shared" si="9"/>
        <v>17.9930110970926</v>
      </c>
      <c r="E10024">
        <f t="shared" si="10"/>
        <v>42.6141708524009</v>
      </c>
      <c r="F10024" s="12">
        <f t="shared" si="3"/>
        <v>15</v>
      </c>
      <c r="G10024" s="12">
        <f t="shared" si="7"/>
        <v>24.1733331091504</v>
      </c>
      <c r="H10024" s="12">
        <f t="shared" si="8"/>
        <v>22.5823428514807</v>
      </c>
      <c r="I10024" s="12">
        <f t="shared" si="4"/>
        <v>15</v>
      </c>
      <c r="J10024" s="12">
        <f t="shared" si="11"/>
        <v>24.1733331091504</v>
      </c>
      <c r="K10024" s="12">
        <f t="shared" si="12"/>
        <v>22.5823428514807</v>
      </c>
      <c r="L10024" t="str">
        <f>IF($B$15="只显示X向","",J10208)</f>
        <v/>
      </c>
    </row>
    <row r="10025" spans="1:11">
      <c r="A10025">
        <f t="shared" si="13"/>
        <v>24</v>
      </c>
      <c r="B10025">
        <f t="shared" si="0"/>
        <v>35.703181864639</v>
      </c>
      <c r="C10025">
        <f t="shared" si="1"/>
        <v>28.101049646137</v>
      </c>
      <c r="D10025">
        <f t="shared" si="9"/>
        <v>18.3533882689945</v>
      </c>
      <c r="E10025">
        <f t="shared" si="10"/>
        <v>42.6809628132564</v>
      </c>
      <c r="F10025" s="12">
        <f t="shared" si="3"/>
        <v>15.75</v>
      </c>
      <c r="G10025" s="12">
        <f t="shared" si="7"/>
        <v>24.1655242820207</v>
      </c>
      <c r="H10025" s="12">
        <f t="shared" si="8"/>
        <v>22.6107410121964</v>
      </c>
      <c r="I10025" s="12">
        <f t="shared" si="4"/>
        <v>15.75</v>
      </c>
      <c r="J10025" s="12">
        <f t="shared" si="11"/>
        <v>24.1655242820207</v>
      </c>
      <c r="K10025" s="12">
        <f t="shared" si="12"/>
        <v>22.6107410121964</v>
      </c>
    </row>
    <row r="10026" spans="1:11">
      <c r="A10026">
        <f t="shared" si="13"/>
        <v>25</v>
      </c>
      <c r="B10026">
        <f t="shared" si="0"/>
        <v>35.5946168055497</v>
      </c>
      <c r="C10026">
        <f t="shared" si="1"/>
        <v>28.3392739261105</v>
      </c>
      <c r="D10026">
        <f t="shared" si="9"/>
        <v>18.7148762341551</v>
      </c>
      <c r="E10026">
        <f t="shared" si="10"/>
        <v>42.7414551524979</v>
      </c>
      <c r="F10026" s="12">
        <f t="shared" si="3"/>
        <v>16.5</v>
      </c>
      <c r="G10026" s="12">
        <f t="shared" si="7"/>
        <v>24.1573444034534</v>
      </c>
      <c r="H10026" s="12">
        <f t="shared" si="8"/>
        <v>22.6390345255838</v>
      </c>
      <c r="I10026" s="12">
        <f t="shared" si="4"/>
        <v>16.5</v>
      </c>
      <c r="J10026" s="12">
        <f t="shared" si="11"/>
        <v>24.1573444034534</v>
      </c>
      <c r="K10026" s="12">
        <f t="shared" si="12"/>
        <v>22.6390345255838</v>
      </c>
    </row>
    <row r="10027" spans="1:11">
      <c r="A10027">
        <f t="shared" si="13"/>
        <v>26</v>
      </c>
      <c r="B10027">
        <f t="shared" si="0"/>
        <v>35.4819106944875</v>
      </c>
      <c r="C10027">
        <f t="shared" si="1"/>
        <v>28.5755672018362</v>
      </c>
      <c r="D10027">
        <f t="shared" si="9"/>
        <v>19.0773648798386</v>
      </c>
      <c r="E10027">
        <f t="shared" si="10"/>
        <v>42.795629443573</v>
      </c>
      <c r="F10027" s="12">
        <f t="shared" si="3"/>
        <v>17.25</v>
      </c>
      <c r="G10027" s="12">
        <f t="shared" si="7"/>
        <v>24.1487948750287</v>
      </c>
      <c r="H10027" s="12">
        <f t="shared" si="8"/>
        <v>22.667218543695</v>
      </c>
      <c r="I10027" s="12">
        <f t="shared" si="4"/>
        <v>17.25</v>
      </c>
      <c r="J10027" s="12">
        <f t="shared" si="11"/>
        <v>24.1487948750287</v>
      </c>
      <c r="K10027" s="12">
        <f t="shared" si="12"/>
        <v>22.667218543695</v>
      </c>
    </row>
    <row r="10028" spans="1:11">
      <c r="A10028">
        <f t="shared" si="13"/>
        <v>27</v>
      </c>
      <c r="B10028">
        <f t="shared" si="0"/>
        <v>35.3650978628255</v>
      </c>
      <c r="C10028">
        <f t="shared" si="1"/>
        <v>28.8098574960932</v>
      </c>
      <c r="D10028">
        <f t="shared" si="9"/>
        <v>19.4407437884919</v>
      </c>
      <c r="E10028">
        <f t="shared" si="10"/>
        <v>42.8434691844678</v>
      </c>
      <c r="F10028" s="12">
        <f t="shared" si="3"/>
        <v>18</v>
      </c>
      <c r="G10028" s="12">
        <f t="shared" si="7"/>
        <v>24.1398771616641</v>
      </c>
      <c r="H10028" s="12">
        <f t="shared" si="8"/>
        <v>22.6952882373436</v>
      </c>
      <c r="I10028" s="12">
        <f t="shared" si="4"/>
        <v>18</v>
      </c>
      <c r="J10028" s="12">
        <f t="shared" si="11"/>
        <v>24.1398771616641</v>
      </c>
      <c r="K10028" s="12">
        <f t="shared" si="12"/>
        <v>22.6952882373436</v>
      </c>
    </row>
    <row r="10029" spans="1:11">
      <c r="A10029">
        <f t="shared" si="13"/>
        <v>28</v>
      </c>
      <c r="B10029">
        <f t="shared" si="0"/>
        <v>35.2442138928839</v>
      </c>
      <c r="C10029">
        <f t="shared" si="1"/>
        <v>29.0420734417884</v>
      </c>
      <c r="D10029">
        <f t="shared" si="9"/>
        <v>19.8049022713793</v>
      </c>
      <c r="E10029">
        <f t="shared" si="10"/>
        <v>42.8849598027337</v>
      </c>
      <c r="F10029" s="12">
        <f t="shared" si="3"/>
        <v>18.75</v>
      </c>
      <c r="G10029" s="12">
        <f t="shared" si="7"/>
        <v>24.130592791364</v>
      </c>
      <c r="H10029" s="12">
        <f t="shared" si="8"/>
        <v>22.7232387969321</v>
      </c>
      <c r="I10029" s="12">
        <f t="shared" si="4"/>
        <v>18.75</v>
      </c>
      <c r="J10029" s="12">
        <f t="shared" si="11"/>
        <v>24.130592791364</v>
      </c>
      <c r="K10029" s="12">
        <f t="shared" si="12"/>
        <v>22.7232387969321</v>
      </c>
    </row>
    <row r="10030" spans="1:11">
      <c r="A10030">
        <f t="shared" si="13"/>
        <v>29</v>
      </c>
      <c r="B10030">
        <f t="shared" si="0"/>
        <v>35.1192956070909</v>
      </c>
      <c r="C10030">
        <f t="shared" si="1"/>
        <v>29.2721443036951</v>
      </c>
      <c r="D10030">
        <f t="shared" si="9"/>
        <v>20.1697294022992</v>
      </c>
      <c r="E10030">
        <f t="shared" si="10"/>
        <v>42.9200886599267</v>
      </c>
      <c r="F10030" s="12">
        <f t="shared" si="3"/>
        <v>19.5</v>
      </c>
      <c r="G10030" s="12">
        <f t="shared" si="7"/>
        <v>24.1209433549574</v>
      </c>
      <c r="H10030" s="12">
        <f t="shared" si="8"/>
        <v>22.751065433276</v>
      </c>
      <c r="I10030" s="12">
        <f t="shared" si="4"/>
        <v>19.5</v>
      </c>
      <c r="J10030" s="12">
        <f t="shared" si="11"/>
        <v>24.1209433549574</v>
      </c>
      <c r="K10030" s="12">
        <f t="shared" si="12"/>
        <v>22.751065433276</v>
      </c>
    </row>
    <row r="10031" spans="1:11">
      <c r="A10031">
        <f t="shared" si="13"/>
        <v>30</v>
      </c>
      <c r="B10031">
        <f t="shared" si="0"/>
        <v>34.9903810567666</v>
      </c>
      <c r="C10031">
        <f t="shared" si="1"/>
        <v>29.5</v>
      </c>
      <c r="D10031">
        <f t="shared" si="9"/>
        <v>20.5351140513734</v>
      </c>
      <c r="E10031">
        <f t="shared" si="10"/>
        <v>42.9488450554563</v>
      </c>
      <c r="F10031" s="12">
        <f t="shared" si="3"/>
        <v>20.25</v>
      </c>
      <c r="G10031" s="12">
        <f t="shared" si="7"/>
        <v>24.1109305058256</v>
      </c>
      <c r="H10031" s="12">
        <f t="shared" si="8"/>
        <v>22.7787633784244</v>
      </c>
      <c r="I10031" s="12">
        <f t="shared" si="4"/>
        <v>20.25</v>
      </c>
      <c r="J10031" s="12">
        <f t="shared" si="11"/>
        <v>24.1109305058256</v>
      </c>
      <c r="K10031" s="12">
        <f t="shared" si="12"/>
        <v>22.7787633784244</v>
      </c>
    </row>
    <row r="10032" spans="1:11">
      <c r="A10032">
        <f t="shared" si="13"/>
        <v>31</v>
      </c>
      <c r="B10032">
        <f t="shared" si="0"/>
        <v>34.8575095105317</v>
      </c>
      <c r="C10032">
        <f t="shared" si="1"/>
        <v>29.7255711236508</v>
      </c>
      <c r="D10032">
        <f t="shared" si="9"/>
        <v>20.9009449188982</v>
      </c>
      <c r="E10032">
        <f t="shared" si="10"/>
        <v>42.9712202298461</v>
      </c>
      <c r="F10032" s="12">
        <f t="shared" si="3"/>
        <v>21</v>
      </c>
      <c r="G10032" s="12">
        <f t="shared" si="7"/>
        <v>24.1005559596187</v>
      </c>
      <c r="H10032" s="12">
        <f t="shared" si="8"/>
        <v>22.8063278864769</v>
      </c>
      <c r="I10032" s="12">
        <f t="shared" si="4"/>
        <v>21</v>
      </c>
      <c r="J10032" s="12">
        <f t="shared" si="11"/>
        <v>24.1005559596187</v>
      </c>
      <c r="K10032" s="12">
        <f t="shared" si="12"/>
        <v>22.8063278864769</v>
      </c>
    </row>
    <row r="10033" spans="1:11">
      <c r="A10033">
        <f t="shared" si="13"/>
        <v>32</v>
      </c>
      <c r="B10033">
        <f t="shared" si="0"/>
        <v>34.7207214423464</v>
      </c>
      <c r="C10033">
        <f t="shared" si="1"/>
        <v>29.9487889634981</v>
      </c>
      <c r="D10033">
        <f t="shared" si="9"/>
        <v>21.2671105692475</v>
      </c>
      <c r="E10033">
        <f t="shared" si="10"/>
        <v>42.987207367401</v>
      </c>
      <c r="F10033" s="12">
        <f t="shared" si="3"/>
        <v>21.75</v>
      </c>
      <c r="G10033" s="12">
        <f t="shared" si="7"/>
        <v>24.0898214939618</v>
      </c>
      <c r="H10033" s="12">
        <f t="shared" si="8"/>
        <v>22.8337542343971</v>
      </c>
      <c r="I10033" s="12">
        <f t="shared" si="4"/>
        <v>21.75</v>
      </c>
      <c r="J10033" s="12">
        <f t="shared" si="11"/>
        <v>24.0898214939618</v>
      </c>
      <c r="K10033" s="12">
        <f t="shared" si="12"/>
        <v>22.8337542343971</v>
      </c>
    </row>
    <row r="10034" spans="1:11">
      <c r="A10034">
        <f t="shared" si="13"/>
        <v>33</v>
      </c>
      <c r="B10034">
        <f t="shared" si="0"/>
        <v>34.5800585191814</v>
      </c>
      <c r="C10034">
        <f t="shared" si="1"/>
        <v>30.1695855252254</v>
      </c>
      <c r="D10034">
        <f t="shared" si="9"/>
        <v>21.633499464817</v>
      </c>
      <c r="E10034">
        <f t="shared" si="10"/>
        <v>42.9968015982842</v>
      </c>
      <c r="F10034" s="12">
        <f t="shared" si="3"/>
        <v>22.5</v>
      </c>
      <c r="G10034" s="12">
        <f t="shared" si="7"/>
        <v>24.0787289481504</v>
      </c>
      <c r="H10034" s="12">
        <f t="shared" si="8"/>
        <v>22.8610377228215</v>
      </c>
      <c r="I10034" s="12">
        <f t="shared" si="4"/>
        <v>22.5</v>
      </c>
      <c r="J10034" s="12">
        <f t="shared" si="11"/>
        <v>24.0787289481504</v>
      </c>
      <c r="K10034" s="12">
        <f t="shared" si="12"/>
        <v>22.8610377228215</v>
      </c>
    </row>
    <row r="10035" spans="1:11">
      <c r="A10035">
        <f t="shared" si="13"/>
        <v>34</v>
      </c>
      <c r="B10035">
        <f t="shared" si="0"/>
        <v>34.4355635883256</v>
      </c>
      <c r="C10035">
        <f t="shared" si="1"/>
        <v>30.3878935520612</v>
      </c>
      <c r="D10035">
        <f t="shared" si="9"/>
        <v>22</v>
      </c>
      <c r="E10035">
        <f t="shared" si="10"/>
        <v>43</v>
      </c>
      <c r="F10035" s="12">
        <f t="shared" si="3"/>
        <v>23.25</v>
      </c>
      <c r="G10035" s="12">
        <f t="shared" si="7"/>
        <v>24.067280222835</v>
      </c>
      <c r="H10035" s="12">
        <f t="shared" si="8"/>
        <v>22.8881736768646</v>
      </c>
      <c r="I10035" s="12">
        <f t="shared" si="4"/>
        <v>23.25</v>
      </c>
      <c r="J10035" s="12">
        <f t="shared" si="11"/>
        <v>24.067280222835</v>
      </c>
      <c r="K10035" s="12">
        <f t="shared" si="12"/>
        <v>22.8881736768646</v>
      </c>
    </row>
    <row r="10036" spans="1:11">
      <c r="A10036">
        <f t="shared" si="13"/>
        <v>35</v>
      </c>
      <c r="B10036">
        <f t="shared" si="0"/>
        <v>34.2872806643349</v>
      </c>
      <c r="C10036">
        <f t="shared" si="1"/>
        <v>30.6036465452657</v>
      </c>
      <c r="D10036">
        <f t="shared" si="9"/>
        <v>22.366500535183</v>
      </c>
      <c r="E10036">
        <f t="shared" si="10"/>
        <v>42.9968015982842</v>
      </c>
      <c r="F10036" s="12">
        <f t="shared" si="3"/>
        <v>24</v>
      </c>
      <c r="G10036" s="12">
        <f t="shared" si="7"/>
        <v>24.0554772796959</v>
      </c>
      <c r="H10036" s="12">
        <f t="shared" si="8"/>
        <v>22.9151574469205</v>
      </c>
      <c r="I10036" s="12">
        <f t="shared" si="4"/>
        <v>24</v>
      </c>
      <c r="J10036" s="12">
        <f t="shared" si="11"/>
        <v>24.0554772796959</v>
      </c>
      <c r="K10036" s="12">
        <f t="shared" si="12"/>
        <v>22.9151574469205</v>
      </c>
    </row>
    <row r="10037" spans="1:11">
      <c r="A10037">
        <f t="shared" si="13"/>
        <v>36</v>
      </c>
      <c r="B10037">
        <f t="shared" si="0"/>
        <v>34.1352549156242</v>
      </c>
      <c r="C10037">
        <f t="shared" si="1"/>
        <v>30.8167787843871</v>
      </c>
      <c r="D10037">
        <f t="shared" si="9"/>
        <v>22.7328894307525</v>
      </c>
      <c r="E10037">
        <f t="shared" si="10"/>
        <v>42.987207367401</v>
      </c>
      <c r="F10037" s="12">
        <f t="shared" ref="F10037:F10068" si="14">MOD(F10036-$E$10006*$H$10002,360)</f>
        <v>24.75</v>
      </c>
      <c r="G10037" s="12">
        <f t="shared" si="7"/>
        <v>24.0433221411064</v>
      </c>
      <c r="H10037" s="12">
        <f t="shared" si="8"/>
        <v>22.9419844094592</v>
      </c>
      <c r="I10037" s="12">
        <f t="shared" ref="I10037:I10068" si="15">MOD(I10036-$E$10006*$K$10002,360)</f>
        <v>24.75</v>
      </c>
      <c r="J10037" s="12">
        <f t="shared" si="11"/>
        <v>24.0433221411064</v>
      </c>
      <c r="K10037" s="12">
        <f t="shared" si="12"/>
        <v>22.9419844094592</v>
      </c>
    </row>
    <row r="10038" spans="1:11">
      <c r="A10038">
        <f t="shared" si="13"/>
        <v>37</v>
      </c>
      <c r="B10038">
        <f t="shared" si="0"/>
        <v>33.9795326507094</v>
      </c>
      <c r="C10038">
        <f t="shared" si="1"/>
        <v>31.0272253472807</v>
      </c>
      <c r="D10038">
        <f t="shared" si="9"/>
        <v>23.0990550811018</v>
      </c>
      <c r="E10038">
        <f t="shared" si="10"/>
        <v>42.9712202298461</v>
      </c>
      <c r="F10038" s="12">
        <f t="shared" si="14"/>
        <v>25.5</v>
      </c>
      <c r="G10038" s="12">
        <f t="shared" si="7"/>
        <v>24.0308168897872</v>
      </c>
      <c r="H10038" s="12">
        <f t="shared" si="8"/>
        <v>22.9686499678187</v>
      </c>
      <c r="I10038" s="12">
        <f t="shared" si="15"/>
        <v>25.5</v>
      </c>
      <c r="J10038" s="12">
        <f t="shared" si="11"/>
        <v>24.0308168897872</v>
      </c>
      <c r="K10038" s="12">
        <f t="shared" si="12"/>
        <v>22.9686499678187</v>
      </c>
    </row>
    <row r="10039" spans="1:11">
      <c r="A10039">
        <f t="shared" si="13"/>
        <v>38</v>
      </c>
      <c r="B10039">
        <f t="shared" si="0"/>
        <v>33.8201613041008</v>
      </c>
      <c r="C10039">
        <f t="shared" si="1"/>
        <v>31.2349221298849</v>
      </c>
      <c r="D10039">
        <f t="shared" si="9"/>
        <v>23.4648859486266</v>
      </c>
      <c r="E10039">
        <f t="shared" si="10"/>
        <v>42.9488450554563</v>
      </c>
      <c r="F10039" s="12">
        <f t="shared" si="14"/>
        <v>26.25</v>
      </c>
      <c r="G10039" s="12">
        <f t="shared" si="7"/>
        <v>24.0179636684485</v>
      </c>
      <c r="H10039" s="12">
        <f t="shared" si="8"/>
        <v>22.9951495529928</v>
      </c>
      <c r="I10039" s="12">
        <f t="shared" si="15"/>
        <v>26.25</v>
      </c>
      <c r="J10039" s="12">
        <f t="shared" si="11"/>
        <v>24.0179636684485</v>
      </c>
      <c r="K10039" s="12">
        <f t="shared" si="12"/>
        <v>22.9951495529928</v>
      </c>
    </row>
    <row r="10040" spans="1:11">
      <c r="A10040">
        <f t="shared" si="13"/>
        <v>39</v>
      </c>
      <c r="B10040">
        <f t="shared" si="0"/>
        <v>33.6571894218546</v>
      </c>
      <c r="C10040">
        <f t="shared" si="1"/>
        <v>31.4398058657476</v>
      </c>
      <c r="D10040">
        <f t="shared" si="9"/>
        <v>23.8302705977008</v>
      </c>
      <c r="E10040">
        <f t="shared" si="10"/>
        <v>42.9200886599267</v>
      </c>
      <c r="F10040" s="12">
        <f t="shared" si="14"/>
        <v>27</v>
      </c>
      <c r="G10040" s="12">
        <f t="shared" si="7"/>
        <v>24.0047646794238</v>
      </c>
      <c r="H10040" s="12">
        <f t="shared" si="8"/>
        <v>23.021478624414</v>
      </c>
      <c r="I10040" s="12">
        <f t="shared" si="15"/>
        <v>27</v>
      </c>
      <c r="J10040" s="12">
        <f t="shared" si="11"/>
        <v>24.0047646794238</v>
      </c>
      <c r="K10040" s="12">
        <f t="shared" si="12"/>
        <v>23.021478624414</v>
      </c>
    </row>
    <row r="10041" spans="1:11">
      <c r="A10041">
        <f t="shared" si="13"/>
        <v>40</v>
      </c>
      <c r="B10041">
        <f t="shared" si="0"/>
        <v>33.4906666467847</v>
      </c>
      <c r="C10041">
        <f t="shared" si="1"/>
        <v>31.6418141452981</v>
      </c>
      <c r="D10041">
        <f t="shared" si="9"/>
        <v>24.1950977286207</v>
      </c>
      <c r="E10041">
        <f t="shared" si="10"/>
        <v>42.8849598027337</v>
      </c>
      <c r="F10041" s="12">
        <f t="shared" si="14"/>
        <v>27.75</v>
      </c>
      <c r="G10041" s="12">
        <f t="shared" si="7"/>
        <v>23.9912221842918</v>
      </c>
      <c r="H10041" s="12">
        <f t="shared" si="8"/>
        <v>23.0476326707315</v>
      </c>
      <c r="I10041" s="12">
        <f t="shared" si="15"/>
        <v>27.75</v>
      </c>
      <c r="J10041" s="12">
        <f t="shared" si="11"/>
        <v>23.9912221842918</v>
      </c>
      <c r="K10041" s="12">
        <f t="shared" si="12"/>
        <v>23.0476326707315</v>
      </c>
    </row>
    <row r="10042" spans="1:11">
      <c r="A10042">
        <f t="shared" si="13"/>
        <v>41</v>
      </c>
      <c r="B10042">
        <f t="shared" si="0"/>
        <v>33.3206437033416</v>
      </c>
      <c r="C10042">
        <f t="shared" si="1"/>
        <v>31.8408854348576</v>
      </c>
      <c r="D10042">
        <f t="shared" si="9"/>
        <v>24.5592562115081</v>
      </c>
      <c r="E10042">
        <f t="shared" si="10"/>
        <v>42.8434691844678</v>
      </c>
      <c r="F10042" s="12">
        <f t="shared" si="14"/>
        <v>28.5</v>
      </c>
      <c r="G10042" s="12">
        <f t="shared" si="7"/>
        <v>23.9773385034894</v>
      </c>
      <c r="H10042" s="12">
        <f t="shared" si="8"/>
        <v>23.0736072105841</v>
      </c>
      <c r="I10042" s="12">
        <f t="shared" si="15"/>
        <v>28.5</v>
      </c>
      <c r="J10042" s="12">
        <f t="shared" si="11"/>
        <v>23.9773385034894</v>
      </c>
      <c r="K10042" s="12">
        <f t="shared" si="12"/>
        <v>23.0736072105841</v>
      </c>
    </row>
    <row r="10043" spans="1:11">
      <c r="A10043">
        <f t="shared" si="13"/>
        <v>42</v>
      </c>
      <c r="B10043">
        <f t="shared" si="0"/>
        <v>33.1471723821609</v>
      </c>
      <c r="C10043">
        <f t="shared" si="1"/>
        <v>32.0369590953829</v>
      </c>
      <c r="D10043">
        <f t="shared" si="9"/>
        <v>24.9226351201614</v>
      </c>
      <c r="E10043">
        <f t="shared" si="10"/>
        <v>42.795629443573</v>
      </c>
      <c r="F10043" s="12">
        <f t="shared" si="14"/>
        <v>29.25</v>
      </c>
      <c r="G10043" s="12">
        <f t="shared" si="7"/>
        <v>23.9631160159138</v>
      </c>
      <c r="H10043" s="12">
        <f t="shared" si="8"/>
        <v>23.0993977933681</v>
      </c>
      <c r="I10043" s="12">
        <f t="shared" si="15"/>
        <v>29.25</v>
      </c>
      <c r="J10043" s="12">
        <f t="shared" si="11"/>
        <v>23.9631160159138</v>
      </c>
      <c r="K10043" s="12">
        <f t="shared" si="12"/>
        <v>23.0993977933681</v>
      </c>
    </row>
    <row r="10044" spans="1:11">
      <c r="A10044">
        <f t="shared" si="13"/>
        <v>43</v>
      </c>
      <c r="B10044">
        <f t="shared" si="0"/>
        <v>32.9703055242876</v>
      </c>
      <c r="C10044">
        <f t="shared" si="1"/>
        <v>32.2299754009375</v>
      </c>
      <c r="D10044">
        <f t="shared" si="9"/>
        <v>25.2851237658449</v>
      </c>
      <c r="E10044">
        <f t="shared" si="10"/>
        <v>42.7414551524979</v>
      </c>
      <c r="F10044" s="12">
        <f t="shared" si="14"/>
        <v>30</v>
      </c>
      <c r="G10044" s="12">
        <f t="shared" si="7"/>
        <v>23.948557158515</v>
      </c>
      <c r="H10044" s="12">
        <f t="shared" si="8"/>
        <v>23.125</v>
      </c>
      <c r="I10044" s="12">
        <f t="shared" si="15"/>
        <v>30</v>
      </c>
      <c r="J10044" s="12">
        <f t="shared" si="11"/>
        <v>23.948557158515</v>
      </c>
      <c r="K10044" s="12">
        <f t="shared" si="12"/>
        <v>23.125</v>
      </c>
    </row>
    <row r="10045" spans="1:11">
      <c r="A10045">
        <f t="shared" si="13"/>
        <v>44</v>
      </c>
      <c r="B10045">
        <f t="shared" si="0"/>
        <v>32.7900970050798</v>
      </c>
      <c r="C10045">
        <f t="shared" si="1"/>
        <v>32.419875556885</v>
      </c>
      <c r="D10045">
        <f t="shared" si="9"/>
        <v>25.6466117310055</v>
      </c>
      <c r="E10045">
        <f t="shared" si="10"/>
        <v>42.6809628132564</v>
      </c>
      <c r="F10045" s="12">
        <f t="shared" si="14"/>
        <v>30.75</v>
      </c>
      <c r="G10045" s="12">
        <f t="shared" si="7"/>
        <v>23.9336644258783</v>
      </c>
      <c r="H10045" s="12">
        <f t="shared" si="8"/>
        <v>23.1504094436734</v>
      </c>
      <c r="I10045" s="12">
        <f t="shared" si="15"/>
        <v>30.75</v>
      </c>
      <c r="J10045" s="12">
        <f t="shared" si="11"/>
        <v>23.9336644258783</v>
      </c>
      <c r="K10045" s="12">
        <f t="shared" si="12"/>
        <v>23.1504094436734</v>
      </c>
    </row>
    <row r="10046" spans="1:11">
      <c r="A10046">
        <f t="shared" si="13"/>
        <v>45</v>
      </c>
      <c r="B10046">
        <f t="shared" si="0"/>
        <v>32.6066017177982</v>
      </c>
      <c r="C10046">
        <f t="shared" si="1"/>
        <v>32.6066017177982</v>
      </c>
      <c r="D10046">
        <f t="shared" si="9"/>
        <v>26.0069889029074</v>
      </c>
      <c r="E10046">
        <f t="shared" si="10"/>
        <v>42.6141708524009</v>
      </c>
      <c r="F10046" s="12">
        <f t="shared" si="14"/>
        <v>31.5</v>
      </c>
      <c r="G10046" s="12">
        <f t="shared" si="7"/>
        <v>23.9184403697967</v>
      </c>
      <c r="H10046" s="12">
        <f t="shared" si="8"/>
        <v>23.1756217706109</v>
      </c>
      <c r="I10046" s="12">
        <f t="shared" si="15"/>
        <v>31.5</v>
      </c>
      <c r="J10046" s="12">
        <f t="shared" si="11"/>
        <v>23.9184403697967</v>
      </c>
      <c r="K10046" s="12">
        <f t="shared" si="12"/>
        <v>23.1756217706109</v>
      </c>
    </row>
    <row r="10047" spans="1:11">
      <c r="A10047">
        <f t="shared" si="13"/>
        <v>46</v>
      </c>
      <c r="B10047">
        <f t="shared" si="0"/>
        <v>32.419875556885</v>
      </c>
      <c r="C10047">
        <f t="shared" si="1"/>
        <v>32.7900970050798</v>
      </c>
      <c r="D10047">
        <f t="shared" si="9"/>
        <v>26.3661455071729</v>
      </c>
      <c r="E10047">
        <f t="shared" si="10"/>
        <v>42.5410996154099</v>
      </c>
      <c r="F10047" s="12">
        <f t="shared" si="14"/>
        <v>32.25</v>
      </c>
      <c r="G10047" s="12">
        <f t="shared" si="7"/>
        <v>23.9028875988339</v>
      </c>
      <c r="H10047" s="12">
        <f t="shared" si="8"/>
        <v>23.2006326608101</v>
      </c>
      <c r="I10047" s="12">
        <f t="shared" si="15"/>
        <v>32.25</v>
      </c>
      <c r="J10047" s="12">
        <f t="shared" si="11"/>
        <v>23.9028875988339</v>
      </c>
      <c r="K10047" s="12">
        <f t="shared" si="12"/>
        <v>23.2006326608101</v>
      </c>
    </row>
    <row r="10048" spans="1:11">
      <c r="A10048">
        <f t="shared" si="13"/>
        <v>47</v>
      </c>
      <c r="B10048">
        <f t="shared" si="0"/>
        <v>32.2299754009375</v>
      </c>
      <c r="C10048">
        <f t="shared" si="1"/>
        <v>32.9703055242876</v>
      </c>
      <c r="D10048">
        <f t="shared" si="9"/>
        <v>26.7239721412212</v>
      </c>
      <c r="E10048">
        <f t="shared" si="10"/>
        <v>42.4617713604899</v>
      </c>
      <c r="F10048" s="12">
        <f t="shared" si="14"/>
        <v>33</v>
      </c>
      <c r="G10048" s="12">
        <f t="shared" si="7"/>
        <v>23.8870087778772</v>
      </c>
      <c r="H10048" s="12">
        <f t="shared" si="8"/>
        <v>23.2254378287838</v>
      </c>
      <c r="I10048" s="12">
        <f t="shared" si="15"/>
        <v>33</v>
      </c>
      <c r="J10048" s="12">
        <f t="shared" si="11"/>
        <v>23.8870087778772</v>
      </c>
      <c r="K10048" s="12">
        <f t="shared" si="12"/>
        <v>23.2254378287838</v>
      </c>
    </row>
    <row r="10049" spans="1:11">
      <c r="A10049">
        <f t="shared" si="13"/>
        <v>48</v>
      </c>
      <c r="B10049">
        <f t="shared" si="0"/>
        <v>32.0369590953829</v>
      </c>
      <c r="C10049">
        <f t="shared" si="1"/>
        <v>33.1471723821609</v>
      </c>
      <c r="D10049">
        <f t="shared" si="9"/>
        <v>27.080359807593</v>
      </c>
      <c r="E10049">
        <f t="shared" si="10"/>
        <v>42.3762102517959</v>
      </c>
      <c r="F10049" s="12">
        <f t="shared" si="14"/>
        <v>33.75</v>
      </c>
      <c r="G10049" s="12">
        <f t="shared" si="7"/>
        <v>23.8708066276807</v>
      </c>
      <c r="H10049" s="12">
        <f t="shared" si="8"/>
        <v>23.2500330242941</v>
      </c>
      <c r="I10049" s="12">
        <f t="shared" si="15"/>
        <v>33.75</v>
      </c>
      <c r="J10049" s="12">
        <f t="shared" si="11"/>
        <v>23.8708066276807</v>
      </c>
      <c r="K10049" s="12">
        <f t="shared" si="12"/>
        <v>23.2500330242941</v>
      </c>
    </row>
    <row r="10050" spans="1:11">
      <c r="A10050">
        <f t="shared" si="13"/>
        <v>49</v>
      </c>
      <c r="B10050">
        <f t="shared" si="0"/>
        <v>31.8408854348576</v>
      </c>
      <c r="C10050">
        <f t="shared" si="1"/>
        <v>33.3206437033416</v>
      </c>
      <c r="D10050">
        <f t="shared" si="9"/>
        <v>27.4351999471529</v>
      </c>
      <c r="E10050">
        <f t="shared" si="10"/>
        <v>42.2844423520704</v>
      </c>
      <c r="F10050" s="12">
        <f t="shared" si="14"/>
        <v>34.5</v>
      </c>
      <c r="G10050" s="12">
        <f t="shared" si="7"/>
        <v>23.8542839243995</v>
      </c>
      <c r="H10050" s="12">
        <f t="shared" si="8"/>
        <v>23.2744140330809</v>
      </c>
      <c r="I10050" s="12">
        <f t="shared" si="15"/>
        <v>34.5</v>
      </c>
      <c r="J10050" s="12">
        <f t="shared" si="11"/>
        <v>23.8542839243995</v>
      </c>
      <c r="K10050" s="12">
        <f t="shared" si="12"/>
        <v>23.2744140330809</v>
      </c>
    </row>
    <row r="10051" spans="1:11">
      <c r="A10051">
        <f t="shared" si="13"/>
        <v>50</v>
      </c>
      <c r="B10051">
        <f t="shared" si="0"/>
        <v>31.6418141452981</v>
      </c>
      <c r="C10051">
        <f t="shared" si="1"/>
        <v>33.4906666467847</v>
      </c>
      <c r="D10051">
        <f t="shared" si="9"/>
        <v>27.788384472157</v>
      </c>
      <c r="E10051">
        <f t="shared" si="10"/>
        <v>42.1864956147047</v>
      </c>
      <c r="F10051" s="12">
        <f t="shared" si="14"/>
        <v>35.25</v>
      </c>
      <c r="G10051" s="12">
        <f t="shared" si="7"/>
        <v>23.8374434991138</v>
      </c>
      <c r="H10051" s="12">
        <f t="shared" si="8"/>
        <v>23.2985766775838</v>
      </c>
      <c r="I10051" s="12">
        <f t="shared" si="15"/>
        <v>35.25</v>
      </c>
      <c r="J10051" s="12">
        <f t="shared" si="11"/>
        <v>23.8374434991138</v>
      </c>
      <c r="K10051" s="12">
        <f t="shared" si="12"/>
        <v>23.2985766775838</v>
      </c>
    </row>
    <row r="10052" spans="1:11">
      <c r="A10052">
        <f t="shared" si="13"/>
        <v>51</v>
      </c>
      <c r="B10052">
        <f t="shared" si="0"/>
        <v>31.4398058657476</v>
      </c>
      <c r="C10052">
        <f t="shared" si="1"/>
        <v>33.6571894218546</v>
      </c>
      <c r="D10052">
        <f t="shared" si="9"/>
        <v>28.1398057991775</v>
      </c>
      <c r="E10052">
        <f t="shared" si="10"/>
        <v>42.0823998752237</v>
      </c>
      <c r="F10052" s="12">
        <f t="shared" si="14"/>
        <v>36</v>
      </c>
      <c r="G10052" s="12">
        <f t="shared" si="7"/>
        <v>23.8202882373436</v>
      </c>
      <c r="H10052" s="12">
        <f t="shared" si="8"/>
        <v>23.3225168176581</v>
      </c>
      <c r="I10052" s="12">
        <f t="shared" si="15"/>
        <v>36</v>
      </c>
      <c r="J10052" s="12">
        <f t="shared" si="11"/>
        <v>23.8202882373436</v>
      </c>
      <c r="K10052" s="12">
        <f t="shared" si="12"/>
        <v>23.3225168176581</v>
      </c>
    </row>
    <row r="10053" spans="1:11">
      <c r="A10053">
        <f t="shared" si="13"/>
        <v>52</v>
      </c>
      <c r="B10053">
        <f t="shared" si="0"/>
        <v>31.2349221298849</v>
      </c>
      <c r="C10053">
        <f t="shared" si="1"/>
        <v>33.8201613041008</v>
      </c>
      <c r="D10053">
        <f t="shared" si="9"/>
        <v>28.4893568818739</v>
      </c>
      <c r="E10053">
        <f t="shared" si="10"/>
        <v>41.9721868421982</v>
      </c>
      <c r="F10053" s="12">
        <f t="shared" si="14"/>
        <v>36.75</v>
      </c>
      <c r="G10053" s="12">
        <f t="shared" si="7"/>
        <v>23.8028210785549</v>
      </c>
      <c r="H10053" s="12">
        <f t="shared" si="8"/>
        <v>23.346230351284</v>
      </c>
      <c r="I10053" s="12">
        <f t="shared" si="15"/>
        <v>36.75</v>
      </c>
      <c r="J10053" s="12">
        <f t="shared" si="11"/>
        <v>23.8028210785549</v>
      </c>
      <c r="K10053" s="12">
        <f t="shared" si="12"/>
        <v>23.346230351284</v>
      </c>
    </row>
    <row r="10054" spans="1:11">
      <c r="A10054">
        <f t="shared" si="13"/>
        <v>53</v>
      </c>
      <c r="B10054">
        <f t="shared" si="0"/>
        <v>31.0272253472807</v>
      </c>
      <c r="C10054">
        <f t="shared" si="1"/>
        <v>33.9795326507094</v>
      </c>
      <c r="D10054">
        <f t="shared" si="9"/>
        <v>28.8369312436003</v>
      </c>
      <c r="E10054">
        <f t="shared" si="10"/>
        <v>41.8558900875856</v>
      </c>
      <c r="F10054" s="12">
        <f t="shared" si="14"/>
        <v>37.5</v>
      </c>
      <c r="G10054" s="12">
        <f t="shared" si="7"/>
        <v>23.7850450156553</v>
      </c>
      <c r="H10054" s="12">
        <f t="shared" si="8"/>
        <v>23.3697132152696</v>
      </c>
      <c r="I10054" s="12">
        <f t="shared" si="15"/>
        <v>37.5</v>
      </c>
      <c r="J10054" s="12">
        <f t="shared" si="11"/>
        <v>23.7850450156553</v>
      </c>
      <c r="K10054" s="12">
        <f t="shared" si="12"/>
        <v>23.3697132152696</v>
      </c>
    </row>
    <row r="10055" spans="1:11">
      <c r="A10055">
        <f t="shared" si="13"/>
        <v>54</v>
      </c>
      <c r="B10055">
        <f t="shared" si="0"/>
        <v>30.8167787843871</v>
      </c>
      <c r="C10055">
        <f t="shared" si="1"/>
        <v>34.1352549156242</v>
      </c>
      <c r="D10055">
        <f t="shared" si="9"/>
        <v>29.182423009839</v>
      </c>
      <c r="E10055">
        <f t="shared" si="10"/>
        <v>41.7335450365041</v>
      </c>
      <c r="F10055" s="12">
        <f t="shared" si="14"/>
        <v>38.25</v>
      </c>
      <c r="G10055" s="12">
        <f t="shared" si="7"/>
        <v>23.7669630944817</v>
      </c>
      <c r="H10055" s="12">
        <f t="shared" si="8"/>
        <v>23.3929613859471</v>
      </c>
      <c r="I10055" s="12">
        <f t="shared" si="15"/>
        <v>38.25</v>
      </c>
      <c r="J10055" s="12">
        <f t="shared" si="11"/>
        <v>23.7669630944817</v>
      </c>
      <c r="K10055" s="12">
        <f t="shared" si="12"/>
        <v>23.3929613859471</v>
      </c>
    </row>
    <row r="10056" spans="1:11">
      <c r="A10056">
        <f t="shared" si="13"/>
        <v>55</v>
      </c>
      <c r="B10056">
        <f t="shared" si="0"/>
        <v>30.6036465452657</v>
      </c>
      <c r="C10056">
        <f t="shared" si="1"/>
        <v>34.2872806643349</v>
      </c>
      <c r="D10056" s="1">
        <f>D10055</f>
        <v>29.182423009839</v>
      </c>
      <c r="E10056" s="1">
        <f>E10055</f>
        <v>41.7335450365041</v>
      </c>
      <c r="F10056" s="12">
        <f t="shared" si="14"/>
        <v>39</v>
      </c>
      <c r="G10056" s="12">
        <f t="shared" si="7"/>
        <v>23.7485784132782</v>
      </c>
      <c r="H10056" s="12">
        <f t="shared" si="8"/>
        <v>23.4159708798621</v>
      </c>
      <c r="I10056" s="12">
        <f t="shared" si="15"/>
        <v>39</v>
      </c>
      <c r="J10056" s="12">
        <f t="shared" si="11"/>
        <v>23.7485784132782</v>
      </c>
      <c r="K10056" s="12">
        <f t="shared" si="12"/>
        <v>23.4159708798621</v>
      </c>
    </row>
    <row r="10057" spans="1:11">
      <c r="A10057">
        <f t="shared" si="13"/>
        <v>56</v>
      </c>
      <c r="B10057">
        <f t="shared" si="0"/>
        <v>30.3878935520612</v>
      </c>
      <c r="C10057">
        <f t="shared" si="1"/>
        <v>34.4355635883256</v>
      </c>
      <c r="D10057" s="1">
        <f>COS((90-35*$E$10006)/180*PI())*$E$10007+$D$10056</f>
        <v>28.608846573488</v>
      </c>
      <c r="E10057" s="1">
        <f>SIN((90-35*$E$10006)/180*PI())*$E$10007+$E$10056</f>
        <v>42.5526970807931</v>
      </c>
      <c r="F10057" s="12">
        <f t="shared" si="14"/>
        <v>39.75</v>
      </c>
      <c r="G10057" s="12">
        <f t="shared" si="7"/>
        <v>23.7298941221653</v>
      </c>
      <c r="H10057" s="12">
        <f t="shared" si="8"/>
        <v>23.4387377544563</v>
      </c>
      <c r="I10057" s="12">
        <f t="shared" si="15"/>
        <v>39.75</v>
      </c>
      <c r="J10057" s="12">
        <f t="shared" si="11"/>
        <v>23.7298941221653</v>
      </c>
      <c r="K10057" s="12">
        <f t="shared" si="12"/>
        <v>23.4387377544563</v>
      </c>
    </row>
    <row r="10058" spans="1:11">
      <c r="A10058">
        <f t="shared" si="13"/>
        <v>57</v>
      </c>
      <c r="B10058">
        <f t="shared" si="0"/>
        <v>30.1695855252254</v>
      </c>
      <c r="C10058">
        <f t="shared" si="1"/>
        <v>34.5800585191814</v>
      </c>
      <c r="D10058" s="1">
        <f>D10056</f>
        <v>29.182423009839</v>
      </c>
      <c r="E10058" s="1">
        <f>E10056</f>
        <v>41.7335450365041</v>
      </c>
      <c r="F10058" s="12">
        <f t="shared" si="14"/>
        <v>40.5</v>
      </c>
      <c r="G10058" s="12">
        <f t="shared" si="7"/>
        <v>23.7109134226001</v>
      </c>
      <c r="H10058" s="12">
        <f t="shared" si="8"/>
        <v>23.4612581087429</v>
      </c>
      <c r="I10058" s="12">
        <f t="shared" si="15"/>
        <v>40.5</v>
      </c>
      <c r="J10058" s="12">
        <f t="shared" si="11"/>
        <v>23.7109134226001</v>
      </c>
      <c r="K10058" s="12">
        <f t="shared" si="12"/>
        <v>23.4612581087429</v>
      </c>
    </row>
    <row r="10059" spans="1:11">
      <c r="A10059">
        <f t="shared" si="13"/>
        <v>58</v>
      </c>
      <c r="B10059">
        <f t="shared" si="0"/>
        <v>29.9487889634981</v>
      </c>
      <c r="C10059">
        <f t="shared" si="1"/>
        <v>34.7207214423464</v>
      </c>
      <c r="D10059" s="1">
        <f>COS((90-115*$E$10006)/180*PI())*$E$10007+$D$10056</f>
        <v>28.2761152228024</v>
      </c>
      <c r="E10059" s="1">
        <f>SIN((90-115*$E$10006)/180*PI())*$E$10007+$E$10056</f>
        <v>41.3109267747634</v>
      </c>
      <c r="F10059" s="12">
        <f t="shared" si="14"/>
        <v>41.25</v>
      </c>
      <c r="G10059" s="12">
        <f t="shared" si="7"/>
        <v>23.6916395668277</v>
      </c>
      <c r="H10059" s="12">
        <f t="shared" si="8"/>
        <v>23.4835280839752</v>
      </c>
      <c r="I10059" s="12">
        <f t="shared" si="15"/>
        <v>41.25</v>
      </c>
      <c r="J10059" s="12">
        <f t="shared" si="11"/>
        <v>23.6916395668277</v>
      </c>
      <c r="K10059" s="12">
        <f t="shared" si="12"/>
        <v>23.4835280839752</v>
      </c>
    </row>
    <row r="10060" spans="1:11">
      <c r="A10060">
        <f t="shared" si="13"/>
        <v>59</v>
      </c>
      <c r="B10060">
        <f t="shared" si="0"/>
        <v>29.7255711236508</v>
      </c>
      <c r="C10060">
        <f t="shared" si="1"/>
        <v>34.8575095105317</v>
      </c>
      <c r="D10060" t="s">
        <v>52</v>
      </c>
      <c r="F10060" s="12">
        <f t="shared" si="14"/>
        <v>42</v>
      </c>
      <c r="G10060" s="12">
        <f t="shared" si="7"/>
        <v>23.6720758573241</v>
      </c>
      <c r="H10060" s="12">
        <f t="shared" si="8"/>
        <v>23.5055438643074</v>
      </c>
      <c r="I10060" s="12">
        <f t="shared" si="15"/>
        <v>42</v>
      </c>
      <c r="J10060" s="12">
        <f t="shared" si="11"/>
        <v>23.6720758573241</v>
      </c>
      <c r="K10060" s="12">
        <f t="shared" si="12"/>
        <v>23.5055438643074</v>
      </c>
    </row>
    <row r="10061" spans="1:11">
      <c r="A10061">
        <f t="shared" si="13"/>
        <v>60</v>
      </c>
      <c r="B10061">
        <f t="shared" si="0"/>
        <v>29.5</v>
      </c>
      <c r="C10061">
        <f t="shared" si="1"/>
        <v>34.9903810567666</v>
      </c>
      <c r="D10061">
        <f>E10002</f>
        <v>22</v>
      </c>
      <c r="E10061">
        <f>E10003</f>
        <v>22</v>
      </c>
      <c r="F10061" s="12">
        <f t="shared" si="14"/>
        <v>42.75</v>
      </c>
      <c r="G10061" s="12">
        <f t="shared" si="7"/>
        <v>23.6522256462303</v>
      </c>
      <c r="H10061" s="12">
        <f t="shared" si="8"/>
        <v>23.5273016774491</v>
      </c>
      <c r="I10061" s="12">
        <f t="shared" si="15"/>
        <v>42.75</v>
      </c>
      <c r="J10061" s="12">
        <f t="shared" si="11"/>
        <v>23.6522256462303</v>
      </c>
      <c r="K10061" s="12">
        <f t="shared" si="12"/>
        <v>23.5273016774491</v>
      </c>
    </row>
    <row r="10062" spans="1:11">
      <c r="A10062">
        <f t="shared" si="13"/>
        <v>61</v>
      </c>
      <c r="B10062">
        <f t="shared" si="0"/>
        <v>29.2721443036951</v>
      </c>
      <c r="C10062">
        <f t="shared" si="1"/>
        <v>35.1192956070909</v>
      </c>
      <c r="D10062" t="s">
        <v>53</v>
      </c>
      <c r="F10062" s="12">
        <f t="shared" si="14"/>
        <v>43.5</v>
      </c>
      <c r="G10062" s="12">
        <f t="shared" si="7"/>
        <v>23.6320923347776</v>
      </c>
      <c r="H10062" s="12">
        <f t="shared" si="8"/>
        <v>23.5487977953109</v>
      </c>
      <c r="I10062" s="12">
        <f t="shared" si="15"/>
        <v>43.5</v>
      </c>
      <c r="J10062" s="12">
        <f t="shared" si="11"/>
        <v>23.6320923347776</v>
      </c>
      <c r="K10062" s="12">
        <f t="shared" si="12"/>
        <v>23.5487977953109</v>
      </c>
    </row>
    <row r="10063" spans="1:11">
      <c r="A10063">
        <f t="shared" si="13"/>
        <v>62</v>
      </c>
      <c r="B10063">
        <f t="shared" si="0"/>
        <v>29.0420734417884</v>
      </c>
      <c r="C10063">
        <f t="shared" si="1"/>
        <v>35.2442138928839</v>
      </c>
      <c r="D10063" t="s">
        <v>54</v>
      </c>
      <c r="E10063">
        <f>E10008</f>
        <v>2</v>
      </c>
      <c r="F10063" s="12">
        <f t="shared" si="14"/>
        <v>44.25</v>
      </c>
      <c r="G10063" s="12">
        <f t="shared" si="7"/>
        <v>23.6116793727055</v>
      </c>
      <c r="H10063" s="12">
        <f t="shared" si="8"/>
        <v>23.5700285346438</v>
      </c>
      <c r="I10063" s="12">
        <f t="shared" si="15"/>
        <v>44.25</v>
      </c>
      <c r="J10063" s="12">
        <f t="shared" si="11"/>
        <v>23.6116793727055</v>
      </c>
      <c r="K10063" s="12">
        <f t="shared" si="12"/>
        <v>23.5700285346438</v>
      </c>
    </row>
    <row r="10064" spans="1:11">
      <c r="A10064">
        <f t="shared" si="13"/>
        <v>63</v>
      </c>
      <c r="B10064">
        <f t="shared" si="0"/>
        <v>28.8098574960932</v>
      </c>
      <c r="C10064">
        <f t="shared" si="1"/>
        <v>35.3650978628255</v>
      </c>
      <c r="D10064" t="s">
        <v>55</v>
      </c>
      <c r="E10064">
        <v>1.3</v>
      </c>
      <c r="F10064" s="12">
        <f t="shared" si="14"/>
        <v>45</v>
      </c>
      <c r="G10064" s="12">
        <f t="shared" si="7"/>
        <v>23.5909902576697</v>
      </c>
      <c r="H10064" s="12">
        <f t="shared" si="8"/>
        <v>23.5909902576697</v>
      </c>
      <c r="I10064" s="12">
        <f t="shared" si="15"/>
        <v>45</v>
      </c>
      <c r="J10064" s="12">
        <f t="shared" si="11"/>
        <v>23.5909902576697</v>
      </c>
      <c r="K10064" s="12">
        <f t="shared" si="12"/>
        <v>23.5909902576697</v>
      </c>
    </row>
    <row r="10065" spans="1:11">
      <c r="A10065">
        <f t="shared" si="13"/>
        <v>64</v>
      </c>
      <c r="B10065">
        <f t="shared" ref="B10065:B10128" si="16">COS(A10065/180*PI())*$E$10001+$E$10002</f>
        <v>28.5755672018362</v>
      </c>
      <c r="C10065">
        <f t="shared" ref="C10065:C10128" si="17">SIN(A10065/180*PI())*$E$10001+$E$10003</f>
        <v>35.4819106944875</v>
      </c>
      <c r="D10065" t="s">
        <v>56</v>
      </c>
      <c r="E10065">
        <f>E10009</f>
        <v>2</v>
      </c>
      <c r="F10065" s="12">
        <f t="shared" si="14"/>
        <v>45.75</v>
      </c>
      <c r="G10065" s="12">
        <f t="shared" si="7"/>
        <v>23.5700285346438</v>
      </c>
      <c r="H10065" s="12">
        <f t="shared" si="8"/>
        <v>23.6116793727055</v>
      </c>
      <c r="I10065" s="12">
        <f t="shared" si="15"/>
        <v>45.75</v>
      </c>
      <c r="J10065" s="12">
        <f t="shared" si="11"/>
        <v>23.5700285346438</v>
      </c>
      <c r="K10065" s="12">
        <f t="shared" si="12"/>
        <v>23.6116793727055</v>
      </c>
    </row>
    <row r="10066" spans="1:11">
      <c r="A10066">
        <f t="shared" si="13"/>
        <v>65</v>
      </c>
      <c r="B10066">
        <f t="shared" si="16"/>
        <v>28.3392739261105</v>
      </c>
      <c r="C10066">
        <f t="shared" si="17"/>
        <v>35.5946168055497</v>
      </c>
      <c r="D10066">
        <f>COS($R$10002/180*PI())*$E$10001*$E$10064+$E$10002</f>
        <v>41.5</v>
      </c>
      <c r="E10066">
        <f>SIN($R$10002/180*PI())*$E$10001*$E$10064+$E$10003</f>
        <v>22</v>
      </c>
      <c r="F10066" s="12">
        <f t="shared" si="14"/>
        <v>46.5</v>
      </c>
      <c r="G10066" s="12">
        <f t="shared" si="7"/>
        <v>23.5487977953109</v>
      </c>
      <c r="H10066" s="12">
        <f t="shared" si="8"/>
        <v>23.6320923347776</v>
      </c>
      <c r="I10066" s="12">
        <f t="shared" si="15"/>
        <v>46.5</v>
      </c>
      <c r="J10066" s="12">
        <f t="shared" si="11"/>
        <v>23.5487977953109</v>
      </c>
      <c r="K10066" s="12">
        <f t="shared" si="12"/>
        <v>23.6320923347776</v>
      </c>
    </row>
    <row r="10067" spans="1:11">
      <c r="A10067">
        <f t="shared" si="13"/>
        <v>66</v>
      </c>
      <c r="B10067">
        <f t="shared" si="16"/>
        <v>28.101049646137</v>
      </c>
      <c r="C10067">
        <f t="shared" si="17"/>
        <v>35.703181864639</v>
      </c>
      <c r="D10067">
        <f>COS($R$10002/180*PI())*($E$10001*$E$10064+$E$10063)+$E$10002</f>
        <v>43.5</v>
      </c>
      <c r="E10067">
        <f>SIN($R$10002/180*PI())*($E$10001*$E$10064+$E$10063)+$E$10003</f>
        <v>22</v>
      </c>
      <c r="F10067" s="12">
        <f t="shared" si="14"/>
        <v>47.25</v>
      </c>
      <c r="G10067" s="12">
        <f t="shared" si="7"/>
        <v>23.5273016774491</v>
      </c>
      <c r="H10067" s="12">
        <f t="shared" si="8"/>
        <v>23.6522256462303</v>
      </c>
      <c r="I10067" s="12">
        <f t="shared" si="15"/>
        <v>47.25</v>
      </c>
      <c r="J10067" s="12">
        <f t="shared" si="11"/>
        <v>23.5273016774491</v>
      </c>
      <c r="K10067" s="12">
        <f t="shared" si="12"/>
        <v>23.6522256462303</v>
      </c>
    </row>
    <row r="10068" spans="1:11">
      <c r="A10068">
        <f t="shared" si="13"/>
        <v>67</v>
      </c>
      <c r="B10068">
        <f t="shared" si="16"/>
        <v>27.8609669273391</v>
      </c>
      <c r="C10068">
        <f t="shared" si="17"/>
        <v>35.8075728017866</v>
      </c>
      <c r="D10068" s="1">
        <f>COS(($R$10002-90)/180*PI())*$E$10065/2+$D$10069</f>
        <v>41.5</v>
      </c>
      <c r="E10068" s="1">
        <f>SIN(($R$10002-90)/180*PI())*$E$10065/2+$E$10069</f>
        <v>21</v>
      </c>
      <c r="F10068" s="12">
        <f t="shared" si="14"/>
        <v>48</v>
      </c>
      <c r="G10068" s="12">
        <f t="shared" si="7"/>
        <v>23.5055438643074</v>
      </c>
      <c r="H10068" s="12">
        <f t="shared" si="8"/>
        <v>23.6720758573241</v>
      </c>
      <c r="I10068" s="12">
        <f t="shared" si="15"/>
        <v>48</v>
      </c>
      <c r="J10068" s="12">
        <f t="shared" si="11"/>
        <v>23.5055438643074</v>
      </c>
      <c r="K10068" s="12">
        <f t="shared" si="12"/>
        <v>23.6720758573241</v>
      </c>
    </row>
    <row r="10069" spans="1:11">
      <c r="A10069">
        <f t="shared" si="13"/>
        <v>68</v>
      </c>
      <c r="B10069">
        <f t="shared" si="16"/>
        <v>27.6190989012387</v>
      </c>
      <c r="C10069">
        <f t="shared" si="17"/>
        <v>35.9077578185018</v>
      </c>
      <c r="D10069" s="1">
        <f>$D$10066</f>
        <v>41.5</v>
      </c>
      <c r="E10069" s="1">
        <f>$E$10066</f>
        <v>22</v>
      </c>
      <c r="F10069" s="12">
        <f t="shared" ref="F10069:F10100" si="18">MOD(F10068-$E$10006*$H$10002,360)</f>
        <v>48.75</v>
      </c>
      <c r="G10069" s="12">
        <f t="shared" si="7"/>
        <v>23.4835280839752</v>
      </c>
      <c r="H10069" s="12">
        <f t="shared" si="8"/>
        <v>23.6916395668277</v>
      </c>
      <c r="I10069" s="12">
        <f t="shared" ref="I10069:I10100" si="19">MOD(I10068-$E$10006*$K$10002,360)</f>
        <v>48.75</v>
      </c>
      <c r="J10069" s="12">
        <f t="shared" si="11"/>
        <v>23.4835280839752</v>
      </c>
      <c r="K10069" s="12">
        <f t="shared" si="12"/>
        <v>23.6916395668277</v>
      </c>
    </row>
    <row r="10070" spans="1:11">
      <c r="A10070">
        <f t="shared" si="13"/>
        <v>69</v>
      </c>
      <c r="B10070">
        <f t="shared" si="16"/>
        <v>27.3755192431795</v>
      </c>
      <c r="C10070">
        <f t="shared" si="17"/>
        <v>36.003706397458</v>
      </c>
      <c r="D10070" s="1">
        <f>COS(($R$10002+90)/180*PI())*$E$10065/2+$D$10069</f>
        <v>41.5</v>
      </c>
      <c r="E10070" s="1">
        <f>SIN(($R$10002+90)/180*PI())*$E$10065/2+$E$10069</f>
        <v>23</v>
      </c>
      <c r="F10070" s="12">
        <f t="shared" si="18"/>
        <v>49.5</v>
      </c>
      <c r="G10070" s="12">
        <f t="shared" ref="G10070:G10133" si="20">COS(F10070/180*PI())*$E$10001*$R$10019+$E$10002</f>
        <v>23.4612581087429</v>
      </c>
      <c r="H10070" s="12">
        <f t="shared" ref="H10070:H10133" si="21">SIN(F10070/180*PI())*$E$10001*$R$10019+$E$10003</f>
        <v>23.7109134226001</v>
      </c>
      <c r="I10070" s="12">
        <f t="shared" si="19"/>
        <v>49.5</v>
      </c>
      <c r="J10070" s="12">
        <f t="shared" si="11"/>
        <v>23.4612581087429</v>
      </c>
      <c r="K10070" s="12">
        <f t="shared" si="12"/>
        <v>23.7109134226001</v>
      </c>
    </row>
    <row r="10071" spans="1:11">
      <c r="A10071">
        <f t="shared" si="13"/>
        <v>70</v>
      </c>
      <c r="B10071">
        <f t="shared" si="16"/>
        <v>27.130302149885</v>
      </c>
      <c r="C10071">
        <f t="shared" si="17"/>
        <v>36.0953893117886</v>
      </c>
      <c r="D10071" t="s">
        <v>57</v>
      </c>
      <c r="F10071" s="12">
        <f t="shared" si="18"/>
        <v>50.25</v>
      </c>
      <c r="G10071" s="12">
        <f t="shared" si="20"/>
        <v>23.4387377544563</v>
      </c>
      <c r="H10071" s="12">
        <f t="shared" si="21"/>
        <v>23.7298941221653</v>
      </c>
      <c r="I10071" s="12">
        <f t="shared" si="19"/>
        <v>50.25</v>
      </c>
      <c r="J10071" s="12">
        <f t="shared" si="11"/>
        <v>23.4387377544563</v>
      </c>
      <c r="K10071" s="12">
        <f t="shared" si="12"/>
        <v>23.7298941221653</v>
      </c>
    </row>
    <row r="10072" spans="1:11">
      <c r="A10072">
        <f t="shared" si="13"/>
        <v>71</v>
      </c>
      <c r="B10072">
        <f t="shared" si="16"/>
        <v>26.8835223168574</v>
      </c>
      <c r="C10072">
        <f t="shared" si="17"/>
        <v>36.1827786339897</v>
      </c>
      <c r="D10072" t="s">
        <v>58</v>
      </c>
      <c r="E10072">
        <f>E10063</f>
        <v>2</v>
      </c>
      <c r="F10072" s="12">
        <f t="shared" si="18"/>
        <v>51</v>
      </c>
      <c r="G10072" s="12">
        <f t="shared" si="20"/>
        <v>23.4159708798621</v>
      </c>
      <c r="H10072" s="12">
        <f t="shared" si="21"/>
        <v>23.7485784132782</v>
      </c>
      <c r="I10072" s="12">
        <f t="shared" si="19"/>
        <v>51</v>
      </c>
      <c r="J10072" s="12">
        <f t="shared" si="11"/>
        <v>23.4159708798621</v>
      </c>
      <c r="K10072" s="12">
        <f t="shared" si="12"/>
        <v>23.7485784132782</v>
      </c>
    </row>
    <row r="10073" spans="1:11">
      <c r="A10073">
        <f t="shared" si="13"/>
        <v>72</v>
      </c>
      <c r="B10073">
        <f t="shared" si="16"/>
        <v>26.6352549156242</v>
      </c>
      <c r="C10073">
        <f t="shared" si="17"/>
        <v>36.2658477444273</v>
      </c>
      <c r="D10073" t="s">
        <v>59</v>
      </c>
      <c r="E10073">
        <f t="shared" ref="E10073:E10074" si="22">E10064</f>
        <v>1.3</v>
      </c>
      <c r="F10073" s="12">
        <f t="shared" si="18"/>
        <v>51.75</v>
      </c>
      <c r="G10073" s="12">
        <f t="shared" si="20"/>
        <v>23.3929613859471</v>
      </c>
      <c r="H10073" s="12">
        <f t="shared" si="21"/>
        <v>23.7669630944817</v>
      </c>
      <c r="I10073" s="12">
        <f t="shared" si="19"/>
        <v>51.75</v>
      </c>
      <c r="J10073" s="12">
        <f t="shared" si="11"/>
        <v>23.3929613859471</v>
      </c>
      <c r="K10073" s="12">
        <f t="shared" si="12"/>
        <v>23.7669630944817</v>
      </c>
    </row>
    <row r="10074" spans="1:11">
      <c r="A10074">
        <f t="shared" si="13"/>
        <v>73</v>
      </c>
      <c r="B10074">
        <f t="shared" si="16"/>
        <v>26.3855755708411</v>
      </c>
      <c r="C10074">
        <f t="shared" si="17"/>
        <v>36.3445713394455</v>
      </c>
      <c r="D10074" t="s">
        <v>60</v>
      </c>
      <c r="E10074">
        <f t="shared" si="22"/>
        <v>2</v>
      </c>
      <c r="F10074" s="12">
        <f t="shared" si="18"/>
        <v>52.5</v>
      </c>
      <c r="G10074" s="12">
        <f t="shared" si="20"/>
        <v>23.3697132152696</v>
      </c>
      <c r="H10074" s="12">
        <f t="shared" si="21"/>
        <v>23.7850450156553</v>
      </c>
      <c r="I10074" s="12">
        <f t="shared" si="19"/>
        <v>52.5</v>
      </c>
      <c r="J10074" s="12">
        <f t="shared" si="11"/>
        <v>23.3697132152696</v>
      </c>
      <c r="K10074" s="12">
        <f t="shared" si="12"/>
        <v>23.7850450156553</v>
      </c>
    </row>
    <row r="10075" spans="1:11">
      <c r="A10075">
        <f t="shared" si="13"/>
        <v>74</v>
      </c>
      <c r="B10075">
        <f t="shared" si="16"/>
        <v>26.134560337255</v>
      </c>
      <c r="C10075">
        <f t="shared" si="17"/>
        <v>36.4189254390748</v>
      </c>
      <c r="D10075">
        <f>COS($R$10003/180*PI())*$E$10001*$E$10073+$E$10002</f>
        <v>18.6138605354949</v>
      </c>
      <c r="E10075">
        <f>SIN($R$10003/180*PI())*$E$10001*$E$10073+$E$10003</f>
        <v>41.2037511837381</v>
      </c>
      <c r="F10075" s="12">
        <f t="shared" si="18"/>
        <v>53.25</v>
      </c>
      <c r="G10075" s="12">
        <f t="shared" si="20"/>
        <v>23.346230351284</v>
      </c>
      <c r="H10075" s="12">
        <f t="shared" si="21"/>
        <v>23.8028210785549</v>
      </c>
      <c r="I10075" s="12">
        <f t="shared" si="19"/>
        <v>53.25</v>
      </c>
      <c r="J10075" s="12">
        <f t="shared" si="11"/>
        <v>23.346230351284</v>
      </c>
      <c r="K10075" s="12">
        <f t="shared" si="12"/>
        <v>23.8028210785549</v>
      </c>
    </row>
    <row r="10076" spans="1:11">
      <c r="A10076">
        <f t="shared" si="13"/>
        <v>75</v>
      </c>
      <c r="B10076">
        <f t="shared" si="16"/>
        <v>25.8822856765378</v>
      </c>
      <c r="C10076">
        <f t="shared" si="17"/>
        <v>36.488887394336</v>
      </c>
      <c r="D10076">
        <f>COS($R$10003/180*PI())*($E$10001*$E$10073+$E$10072)+$E$10002</f>
        <v>18.266564180161</v>
      </c>
      <c r="E10076">
        <f>SIN($R$10003/180*PI())*($E$10001*$E$10073+$E$10072)+$E$10003</f>
        <v>43.1733666897625</v>
      </c>
      <c r="F10076" s="12">
        <f t="shared" si="18"/>
        <v>54</v>
      </c>
      <c r="G10076" s="12">
        <f t="shared" si="20"/>
        <v>23.3225168176581</v>
      </c>
      <c r="H10076" s="12">
        <f t="shared" si="21"/>
        <v>23.8202882373436</v>
      </c>
      <c r="I10076" s="12">
        <f t="shared" si="19"/>
        <v>54</v>
      </c>
      <c r="J10076" s="12">
        <f t="shared" si="11"/>
        <v>23.3225168176581</v>
      </c>
      <c r="K10076" s="12">
        <f t="shared" si="12"/>
        <v>23.8202882373436</v>
      </c>
    </row>
    <row r="10077" spans="1:11">
      <c r="A10077">
        <f t="shared" si="13"/>
        <v>76</v>
      </c>
      <c r="B10077">
        <f t="shared" si="16"/>
        <v>25.628828433995</v>
      </c>
      <c r="C10077">
        <f t="shared" si="17"/>
        <v>36.5544358941399</v>
      </c>
      <c r="D10077" s="1">
        <f>COS(($R$10003-90)/180*PI())*$E$10074/2+$D$10078</f>
        <v>19.5986682885071</v>
      </c>
      <c r="E10077" s="1">
        <f>SIN(($R$10003-90)/180*PI())*$E$10074/2+$E$10078</f>
        <v>41.377399361405</v>
      </c>
      <c r="F10077" s="12">
        <f t="shared" si="18"/>
        <v>54.75</v>
      </c>
      <c r="G10077" s="12">
        <f t="shared" si="20"/>
        <v>23.2985766775838</v>
      </c>
      <c r="H10077" s="12">
        <f t="shared" si="21"/>
        <v>23.8374434991138</v>
      </c>
      <c r="I10077" s="12">
        <f t="shared" si="19"/>
        <v>54.75</v>
      </c>
      <c r="J10077" s="12">
        <f t="shared" si="11"/>
        <v>23.2985766775838</v>
      </c>
      <c r="K10077" s="12">
        <f t="shared" si="12"/>
        <v>23.8374434991138</v>
      </c>
    </row>
    <row r="10078" spans="1:11">
      <c r="A10078">
        <f t="shared" si="13"/>
        <v>77</v>
      </c>
      <c r="B10078">
        <f t="shared" si="16"/>
        <v>25.374265815158</v>
      </c>
      <c r="C10078">
        <f t="shared" si="17"/>
        <v>36.6155509717785</v>
      </c>
      <c r="D10078" s="1">
        <f>$D$10075</f>
        <v>18.6138605354949</v>
      </c>
      <c r="E10078" s="1">
        <f>$E$10075</f>
        <v>41.2037511837381</v>
      </c>
      <c r="F10078" s="12">
        <f t="shared" si="18"/>
        <v>55.5</v>
      </c>
      <c r="G10078" s="12">
        <f t="shared" si="20"/>
        <v>23.2744140330809</v>
      </c>
      <c r="H10078" s="12">
        <f t="shared" si="21"/>
        <v>23.8542839243995</v>
      </c>
      <c r="I10078" s="12">
        <f t="shared" si="19"/>
        <v>55.5</v>
      </c>
      <c r="J10078" s="12">
        <f t="shared" ref="J10078:J10141" si="23">COS(I10078/180*PI())*$E$10001*$R$10023+$E$10002</f>
        <v>23.2744140330809</v>
      </c>
      <c r="K10078" s="12">
        <f t="shared" ref="K10078:K10141" si="24">SIN(I10078/180*PI())*$E$10001*$R$10023+$E$10003</f>
        <v>23.8542839243995</v>
      </c>
    </row>
    <row r="10079" spans="1:11">
      <c r="A10079">
        <f t="shared" si="13"/>
        <v>78</v>
      </c>
      <c r="B10079">
        <f t="shared" si="16"/>
        <v>25.1186753622664</v>
      </c>
      <c r="C10079">
        <f t="shared" si="17"/>
        <v>36.6722140110071</v>
      </c>
      <c r="D10079" s="1">
        <f>COS(($R$10003+90)/180*PI())*$E$10074/2+$D$10078</f>
        <v>17.6290527824826</v>
      </c>
      <c r="E10079" s="1">
        <f>SIN(($R$10003+90)/180*PI())*$E$10074/2+$E$10078</f>
        <v>41.0301030060711</v>
      </c>
      <c r="F10079" s="12">
        <f t="shared" si="18"/>
        <v>56.25</v>
      </c>
      <c r="G10079" s="12">
        <f t="shared" si="20"/>
        <v>23.2500330242941</v>
      </c>
      <c r="H10079" s="12">
        <f t="shared" si="21"/>
        <v>23.8708066276807</v>
      </c>
      <c r="I10079" s="12">
        <f t="shared" si="19"/>
        <v>56.25</v>
      </c>
      <c r="J10079" s="12">
        <f t="shared" si="23"/>
        <v>23.2500330242941</v>
      </c>
      <c r="K10079" s="12">
        <f t="shared" si="24"/>
        <v>23.8708066276807</v>
      </c>
    </row>
    <row r="10080" spans="1:11">
      <c r="A10080">
        <f t="shared" si="13"/>
        <v>79</v>
      </c>
      <c r="B10080">
        <f t="shared" si="16"/>
        <v>24.8621349306482</v>
      </c>
      <c r="C10080">
        <f t="shared" si="17"/>
        <v>36.724407751715</v>
      </c>
      <c r="D10080" t="s">
        <v>61</v>
      </c>
      <c r="F10080" s="12">
        <f t="shared" si="18"/>
        <v>57</v>
      </c>
      <c r="G10080" s="12">
        <f t="shared" si="20"/>
        <v>23.2254378287838</v>
      </c>
      <c r="H10080" s="12">
        <f t="shared" si="21"/>
        <v>23.8870087778772</v>
      </c>
      <c r="I10080" s="12">
        <f t="shared" si="19"/>
        <v>57</v>
      </c>
      <c r="J10080" s="12">
        <f t="shared" si="23"/>
        <v>23.2254378287838</v>
      </c>
      <c r="K10080" s="12">
        <f t="shared" si="24"/>
        <v>23.8870087778772</v>
      </c>
    </row>
    <row r="10081" spans="1:11">
      <c r="A10081">
        <f t="shared" si="13"/>
        <v>80</v>
      </c>
      <c r="B10081">
        <f t="shared" si="16"/>
        <v>24.604722665004</v>
      </c>
      <c r="C10081">
        <f t="shared" si="17"/>
        <v>36.7721162951831</v>
      </c>
      <c r="D10081" t="s">
        <v>62</v>
      </c>
      <c r="E10081">
        <f>E10072</f>
        <v>2</v>
      </c>
      <c r="F10081" s="12">
        <f t="shared" si="18"/>
        <v>57.75</v>
      </c>
      <c r="G10081" s="12">
        <f t="shared" si="20"/>
        <v>23.2006326608101</v>
      </c>
      <c r="H10081" s="12">
        <f t="shared" si="21"/>
        <v>23.9028875988339</v>
      </c>
      <c r="I10081" s="12">
        <f t="shared" si="19"/>
        <v>57.75</v>
      </c>
      <c r="J10081" s="12">
        <f t="shared" si="23"/>
        <v>23.2006326608101</v>
      </c>
      <c r="K10081" s="12">
        <f t="shared" si="24"/>
        <v>23.9028875988339</v>
      </c>
    </row>
    <row r="10082" spans="1:11">
      <c r="A10082">
        <f t="shared" si="13"/>
        <v>81</v>
      </c>
      <c r="B10082">
        <f t="shared" si="16"/>
        <v>24.3465169756035</v>
      </c>
      <c r="C10082">
        <f t="shared" si="17"/>
        <v>36.8153251089271</v>
      </c>
      <c r="D10082" t="s">
        <v>63</v>
      </c>
      <c r="E10082">
        <f t="shared" ref="E10082:E10083" si="25">E10073</f>
        <v>1.3</v>
      </c>
      <c r="F10082" s="12">
        <f t="shared" si="18"/>
        <v>58.5</v>
      </c>
      <c r="G10082" s="12">
        <f t="shared" si="20"/>
        <v>23.1756217706109</v>
      </c>
      <c r="H10082" s="12">
        <f t="shared" si="21"/>
        <v>23.9184403697967</v>
      </c>
      <c r="I10082" s="12">
        <f t="shared" si="19"/>
        <v>58.5</v>
      </c>
      <c r="J10082" s="12">
        <f t="shared" si="23"/>
        <v>23.1756217706109</v>
      </c>
      <c r="K10082" s="12">
        <f t="shared" si="24"/>
        <v>23.9184403697967</v>
      </c>
    </row>
    <row r="10083" spans="1:11">
      <c r="A10083">
        <f t="shared" si="13"/>
        <v>82</v>
      </c>
      <c r="B10083">
        <f t="shared" si="16"/>
        <v>24.087596514401</v>
      </c>
      <c r="C10083">
        <f t="shared" si="17"/>
        <v>36.8540210311236</v>
      </c>
      <c r="D10083" t="s">
        <v>64</v>
      </c>
      <c r="E10083">
        <f t="shared" si="25"/>
        <v>2</v>
      </c>
      <c r="F10083" s="12">
        <f t="shared" si="18"/>
        <v>59.25</v>
      </c>
      <c r="G10083" s="12">
        <f t="shared" si="20"/>
        <v>23.1504094436734</v>
      </c>
      <c r="H10083" s="12">
        <f t="shared" si="21"/>
        <v>23.9336644258783</v>
      </c>
      <c r="I10083" s="12">
        <f t="shared" si="19"/>
        <v>59.25</v>
      </c>
      <c r="J10083" s="12">
        <f t="shared" si="23"/>
        <v>23.1504094436734</v>
      </c>
      <c r="K10083" s="12">
        <f t="shared" si="24"/>
        <v>23.9336644258783</v>
      </c>
    </row>
    <row r="10084" spans="1:11">
      <c r="A10084">
        <f t="shared" si="13"/>
        <v>83</v>
      </c>
      <c r="B10084">
        <f t="shared" si="16"/>
        <v>23.8280401510772</v>
      </c>
      <c r="C10084">
        <f t="shared" si="17"/>
        <v>36.8881922746198</v>
      </c>
      <c r="D10084">
        <f>COS($R$10004/180*PI())*$E$10001*$E$10082+$E$10002</f>
        <v>18.6138605354949</v>
      </c>
      <c r="E10084">
        <f>SIN($R$10004/180*PI())*$E$10001*$E$10082+$E$10003</f>
        <v>41.2037511837381</v>
      </c>
      <c r="F10084" s="12">
        <f t="shared" si="18"/>
        <v>60</v>
      </c>
      <c r="G10084" s="12">
        <f t="shared" si="20"/>
        <v>23.125</v>
      </c>
      <c r="H10084" s="12">
        <f t="shared" si="21"/>
        <v>23.948557158515</v>
      </c>
      <c r="I10084" s="12">
        <f t="shared" si="19"/>
        <v>60</v>
      </c>
      <c r="J10084" s="12">
        <f t="shared" si="23"/>
        <v>23.125</v>
      </c>
      <c r="K10084" s="12">
        <f t="shared" si="24"/>
        <v>23.948557158515</v>
      </c>
    </row>
    <row r="10085" spans="1:11">
      <c r="A10085">
        <f t="shared" si="13"/>
        <v>84</v>
      </c>
      <c r="B10085">
        <f t="shared" si="16"/>
        <v>23.5679269490148</v>
      </c>
      <c r="C10085">
        <f t="shared" si="17"/>
        <v>36.9178284305241</v>
      </c>
      <c r="D10085">
        <f>COS($R$10004/180*PI())*($E$10001*$E$10082+$E$10081)+$E$10002</f>
        <v>18.266564180161</v>
      </c>
      <c r="E10085">
        <f>SIN($R$10004/180*PI())*($E$10001*$E$10082+$E$10081)+$E$10003</f>
        <v>43.1733666897625</v>
      </c>
      <c r="F10085" s="12">
        <f t="shared" si="18"/>
        <v>60.75</v>
      </c>
      <c r="G10085" s="12">
        <f t="shared" si="20"/>
        <v>23.0993977933681</v>
      </c>
      <c r="H10085" s="12">
        <f t="shared" si="21"/>
        <v>23.9631160159138</v>
      </c>
      <c r="I10085" s="12">
        <f t="shared" si="19"/>
        <v>60.75</v>
      </c>
      <c r="J10085" s="12">
        <f t="shared" si="23"/>
        <v>23.0993977933681</v>
      </c>
      <c r="K10085" s="12">
        <f t="shared" si="24"/>
        <v>23.9631160159138</v>
      </c>
    </row>
    <row r="10086" spans="1:11">
      <c r="A10086">
        <f t="shared" si="13"/>
        <v>85</v>
      </c>
      <c r="B10086">
        <f t="shared" si="16"/>
        <v>23.3073361412149</v>
      </c>
      <c r="C10086">
        <f t="shared" si="17"/>
        <v>36.9429204713762</v>
      </c>
      <c r="D10086" s="1">
        <f>COS(($R$10004-90)/180*PI())*$E$10083/2+$D$10087</f>
        <v>19.5986682885071</v>
      </c>
      <c r="E10086" s="1">
        <f>SIN(($R$10004-90)/180*PI())*$E$10083/2+$E$10087</f>
        <v>41.377399361405</v>
      </c>
      <c r="F10086" s="12">
        <f t="shared" si="18"/>
        <v>61.5</v>
      </c>
      <c r="G10086" s="12">
        <f t="shared" si="20"/>
        <v>23.0736072105841</v>
      </c>
      <c r="H10086" s="12">
        <f t="shared" si="21"/>
        <v>23.9773385034894</v>
      </c>
      <c r="I10086" s="12">
        <f t="shared" si="19"/>
        <v>61.5</v>
      </c>
      <c r="J10086" s="12">
        <f t="shared" si="23"/>
        <v>23.0736072105841</v>
      </c>
      <c r="K10086" s="12">
        <f t="shared" si="24"/>
        <v>23.9773385034894</v>
      </c>
    </row>
    <row r="10087" spans="1:11">
      <c r="A10087">
        <f t="shared" ref="A10087:A10150" si="26">A10086+1</f>
        <v>86</v>
      </c>
      <c r="B10087">
        <f t="shared" si="16"/>
        <v>23.0463471061619</v>
      </c>
      <c r="C10087">
        <f t="shared" si="17"/>
        <v>36.9634607538974</v>
      </c>
      <c r="D10087" s="1">
        <f>$D$10084</f>
        <v>18.6138605354949</v>
      </c>
      <c r="E10087" s="1">
        <f>$E$10084</f>
        <v>41.2037511837381</v>
      </c>
      <c r="F10087" s="12">
        <f t="shared" si="18"/>
        <v>62.25</v>
      </c>
      <c r="G10087" s="12">
        <f t="shared" si="20"/>
        <v>23.0476326707315</v>
      </c>
      <c r="H10087" s="12">
        <f t="shared" si="21"/>
        <v>23.9912221842918</v>
      </c>
      <c r="I10087" s="12">
        <f t="shared" si="19"/>
        <v>62.25</v>
      </c>
      <c r="J10087" s="12">
        <f t="shared" si="23"/>
        <v>23.0476326707315</v>
      </c>
      <c r="K10087" s="12">
        <f t="shared" si="24"/>
        <v>23.9912221842918</v>
      </c>
    </row>
    <row r="10088" spans="1:11">
      <c r="A10088">
        <f t="shared" si="26"/>
        <v>87</v>
      </c>
      <c r="B10088">
        <f t="shared" si="16"/>
        <v>22.7850393436442</v>
      </c>
      <c r="C10088">
        <f t="shared" si="17"/>
        <v>36.9794430213186</v>
      </c>
      <c r="D10088" s="1">
        <f>COS(($R$10004+90)/180*PI())*$E$10083/2+$D$10087</f>
        <v>17.6290527824826</v>
      </c>
      <c r="E10088" s="1">
        <f>SIN(($R$10004+90)/180*PI())*$E$10083/2+$E$10087</f>
        <v>41.0301030060711</v>
      </c>
      <c r="F10088" s="12">
        <f t="shared" si="18"/>
        <v>63</v>
      </c>
      <c r="G10088" s="12">
        <f t="shared" si="20"/>
        <v>23.021478624414</v>
      </c>
      <c r="H10088" s="12">
        <f t="shared" si="21"/>
        <v>24.0047646794238</v>
      </c>
      <c r="I10088" s="12">
        <f t="shared" si="19"/>
        <v>63</v>
      </c>
      <c r="J10088" s="12">
        <f t="shared" si="23"/>
        <v>23.021478624414</v>
      </c>
      <c r="K10088" s="12">
        <f t="shared" si="24"/>
        <v>24.0047646794238</v>
      </c>
    </row>
    <row r="10089" spans="1:11">
      <c r="A10089">
        <f t="shared" si="26"/>
        <v>88</v>
      </c>
      <c r="B10089">
        <f t="shared" si="16"/>
        <v>22.5234924505375</v>
      </c>
      <c r="C10089">
        <f t="shared" si="17"/>
        <v>36.9908624052864</v>
      </c>
      <c r="D10089" t="s">
        <v>65</v>
      </c>
      <c r="F10089" s="12">
        <f t="shared" si="18"/>
        <v>63.75</v>
      </c>
      <c r="G10089" s="12">
        <f t="shared" si="20"/>
        <v>22.9951495529928</v>
      </c>
      <c r="H10089" s="12">
        <f t="shared" si="21"/>
        <v>24.0179636684485</v>
      </c>
      <c r="I10089" s="12">
        <f t="shared" si="19"/>
        <v>63.75</v>
      </c>
      <c r="J10089" s="12">
        <f t="shared" si="23"/>
        <v>22.9951495529928</v>
      </c>
      <c r="K10089" s="12">
        <f t="shared" si="24"/>
        <v>24.0179636684485</v>
      </c>
    </row>
    <row r="10090" spans="1:11">
      <c r="A10090">
        <f t="shared" si="26"/>
        <v>89</v>
      </c>
      <c r="B10090">
        <f t="shared" si="16"/>
        <v>22.2617860965593</v>
      </c>
      <c r="C10090">
        <f t="shared" si="17"/>
        <v>36.9977154273459</v>
      </c>
      <c r="D10090">
        <f>E10002</f>
        <v>22</v>
      </c>
      <c r="E10090">
        <f>E10003</f>
        <v>22</v>
      </c>
      <c r="F10090" s="12">
        <f t="shared" si="18"/>
        <v>64.5</v>
      </c>
      <c r="G10090" s="12">
        <f t="shared" si="20"/>
        <v>22.9686499678187</v>
      </c>
      <c r="H10090" s="12">
        <f t="shared" si="21"/>
        <v>24.0308168897872</v>
      </c>
      <c r="I10090" s="12">
        <f t="shared" si="19"/>
        <v>64.5</v>
      </c>
      <c r="J10090" s="12">
        <f t="shared" si="23"/>
        <v>22.9686499678187</v>
      </c>
      <c r="K10090" s="12">
        <f t="shared" si="24"/>
        <v>24.0308168897872</v>
      </c>
    </row>
    <row r="10091" spans="1:11">
      <c r="A10091">
        <f t="shared" si="26"/>
        <v>90</v>
      </c>
      <c r="B10091">
        <f t="shared" si="16"/>
        <v>22</v>
      </c>
      <c r="C10091">
        <f t="shared" si="17"/>
        <v>37</v>
      </c>
      <c r="D10091">
        <f>COS($R10002/180*PI())*$E10001+D10090</f>
        <v>37</v>
      </c>
      <c r="E10091">
        <f>SIN($R10002/180*PI())*$E10001+E10090</f>
        <v>22</v>
      </c>
      <c r="F10091" s="12">
        <f t="shared" si="18"/>
        <v>65.25</v>
      </c>
      <c r="G10091" s="12">
        <f t="shared" si="20"/>
        <v>22.9419844094592</v>
      </c>
      <c r="H10091" s="12">
        <f t="shared" si="21"/>
        <v>24.0433221411064</v>
      </c>
      <c r="I10091" s="12">
        <f t="shared" si="19"/>
        <v>65.25</v>
      </c>
      <c r="J10091" s="12">
        <f t="shared" si="23"/>
        <v>22.9419844094592</v>
      </c>
      <c r="K10091" s="12">
        <f t="shared" si="24"/>
        <v>24.0433221411064</v>
      </c>
    </row>
    <row r="10092" spans="1:11">
      <c r="A10092">
        <f t="shared" si="26"/>
        <v>91</v>
      </c>
      <c r="B10092">
        <f t="shared" si="16"/>
        <v>21.7382139034407</v>
      </c>
      <c r="C10092">
        <f t="shared" si="17"/>
        <v>36.9977154273459</v>
      </c>
      <c r="D10092" t="s">
        <v>66</v>
      </c>
      <c r="F10092" s="12">
        <f t="shared" si="18"/>
        <v>66</v>
      </c>
      <c r="G10092" s="12">
        <f t="shared" si="20"/>
        <v>22.9151574469205</v>
      </c>
      <c r="H10092" s="12">
        <f t="shared" si="21"/>
        <v>24.0554772796959</v>
      </c>
      <c r="I10092" s="12">
        <f t="shared" si="19"/>
        <v>66</v>
      </c>
      <c r="J10092" s="12">
        <f t="shared" si="23"/>
        <v>22.9151574469205</v>
      </c>
      <c r="K10092" s="12">
        <f t="shared" si="24"/>
        <v>24.0554772796959</v>
      </c>
    </row>
    <row r="10093" spans="1:11">
      <c r="A10093">
        <f t="shared" si="26"/>
        <v>92</v>
      </c>
      <c r="B10093">
        <f t="shared" si="16"/>
        <v>21.4765075494625</v>
      </c>
      <c r="C10093">
        <f t="shared" si="17"/>
        <v>36.9908624052864</v>
      </c>
      <c r="D10093" s="14">
        <f>E10002</f>
        <v>22</v>
      </c>
      <c r="E10093" s="14">
        <f>E10003</f>
        <v>22</v>
      </c>
      <c r="F10093" s="12">
        <f t="shared" si="18"/>
        <v>66.75</v>
      </c>
      <c r="G10093" s="12">
        <f t="shared" si="20"/>
        <v>22.8881736768646</v>
      </c>
      <c r="H10093" s="12">
        <f t="shared" si="21"/>
        <v>24.067280222835</v>
      </c>
      <c r="I10093" s="12">
        <f t="shared" si="19"/>
        <v>66.75</v>
      </c>
      <c r="J10093" s="12">
        <f t="shared" si="23"/>
        <v>22.8881736768646</v>
      </c>
      <c r="K10093" s="12">
        <f t="shared" si="24"/>
        <v>24.067280222835</v>
      </c>
    </row>
    <row r="10094" spans="1:11">
      <c r="A10094">
        <f t="shared" si="26"/>
        <v>93</v>
      </c>
      <c r="B10094">
        <f t="shared" si="16"/>
        <v>21.2149606563558</v>
      </c>
      <c r="C10094">
        <f t="shared" si="17"/>
        <v>36.9794430213186</v>
      </c>
      <c r="D10094" s="14">
        <f>COS(($R$10003-$E$10006*$R$10007)/180*PI())*$E$10001+$D$10093</f>
        <v>7.51111260566398</v>
      </c>
      <c r="E10094" s="14">
        <f>SIN(($R$10003-$E$10006*$R$10007)/180*PI())*$E$10001+$E$10093</f>
        <v>25.8822856765378</v>
      </c>
      <c r="F10094" s="12">
        <f t="shared" si="18"/>
        <v>67.5</v>
      </c>
      <c r="G10094" s="12">
        <f t="shared" si="20"/>
        <v>22.8610377228215</v>
      </c>
      <c r="H10094" s="12">
        <f t="shared" si="21"/>
        <v>24.0787289481504</v>
      </c>
      <c r="I10094" s="12">
        <f t="shared" si="19"/>
        <v>67.5</v>
      </c>
      <c r="J10094" s="12">
        <f t="shared" si="23"/>
        <v>22.8610377228215</v>
      </c>
      <c r="K10094" s="12">
        <f t="shared" si="24"/>
        <v>24.0787289481504</v>
      </c>
    </row>
    <row r="10095" spans="1:11">
      <c r="A10095">
        <f t="shared" si="26"/>
        <v>94</v>
      </c>
      <c r="B10095">
        <f t="shared" si="16"/>
        <v>20.9536528938381</v>
      </c>
      <c r="C10095">
        <f t="shared" si="17"/>
        <v>36.9634607538974</v>
      </c>
      <c r="D10095" s="1">
        <f>D10096-COS(($R$10003-$E$10006*$R$10007-45)/180*PI())*$E$10007</f>
        <v>8.01111260566398</v>
      </c>
      <c r="E10095" s="1">
        <f>E10096-SIN(($R$10003-$E$10006*$R$10007-45)/180*PI())*$E$10007</f>
        <v>25.0162602727534</v>
      </c>
      <c r="F10095" s="12">
        <f t="shared" si="18"/>
        <v>68.25</v>
      </c>
      <c r="G10095" s="12">
        <f t="shared" si="20"/>
        <v>22.8337542343971</v>
      </c>
      <c r="H10095" s="12">
        <f t="shared" si="21"/>
        <v>24.0898214939618</v>
      </c>
      <c r="I10095" s="12">
        <f t="shared" si="19"/>
        <v>68.25</v>
      </c>
      <c r="J10095" s="12">
        <f t="shared" si="23"/>
        <v>22.8337542343971</v>
      </c>
      <c r="K10095" s="12">
        <f t="shared" si="24"/>
        <v>24.0898214939618</v>
      </c>
    </row>
    <row r="10096" spans="1:11">
      <c r="A10096">
        <f t="shared" si="26"/>
        <v>95</v>
      </c>
      <c r="B10096">
        <f t="shared" si="16"/>
        <v>20.6926638587851</v>
      </c>
      <c r="C10096">
        <f t="shared" si="17"/>
        <v>36.9429204713762</v>
      </c>
      <c r="D10096" s="1">
        <f>D10094</f>
        <v>7.51111260566398</v>
      </c>
      <c r="E10096" s="1">
        <f>E10094</f>
        <v>25.8822856765378</v>
      </c>
      <c r="F10096" s="12">
        <f t="shared" si="18"/>
        <v>69</v>
      </c>
      <c r="G10096" s="12">
        <f t="shared" si="20"/>
        <v>22.8063278864769</v>
      </c>
      <c r="H10096" s="12">
        <f t="shared" si="21"/>
        <v>24.1005559596187</v>
      </c>
      <c r="I10096" s="12">
        <f t="shared" si="19"/>
        <v>69</v>
      </c>
      <c r="J10096" s="12">
        <f t="shared" si="23"/>
        <v>22.8063278864769</v>
      </c>
      <c r="K10096" s="12">
        <f t="shared" si="24"/>
        <v>24.1005559596187</v>
      </c>
    </row>
    <row r="10097" spans="1:11">
      <c r="A10097">
        <f t="shared" si="26"/>
        <v>96</v>
      </c>
      <c r="B10097">
        <f t="shared" si="16"/>
        <v>20.4320730509852</v>
      </c>
      <c r="C10097">
        <f t="shared" si="17"/>
        <v>36.9178284305241</v>
      </c>
      <c r="D10097" s="1">
        <f>D10096-COS(($R$10003-$E$10006*$R$10007+45)/180*PI())*$E$10007</f>
        <v>8.37713800944842</v>
      </c>
      <c r="E10097" s="1">
        <f>E10096-SIN(($R$10003-$E$10006*$R$10007+45)/180*PI())*$E$10007</f>
        <v>26.3822856765378</v>
      </c>
      <c r="F10097" s="12">
        <f t="shared" si="18"/>
        <v>69.75</v>
      </c>
      <c r="G10097" s="12">
        <f t="shared" si="20"/>
        <v>22.7787633784244</v>
      </c>
      <c r="H10097" s="12">
        <f t="shared" si="21"/>
        <v>24.1109305058256</v>
      </c>
      <c r="I10097" s="12">
        <f t="shared" si="19"/>
        <v>69.75</v>
      </c>
      <c r="J10097" s="12">
        <f t="shared" si="23"/>
        <v>22.7787633784244</v>
      </c>
      <c r="K10097" s="12">
        <f t="shared" si="24"/>
        <v>24.1109305058256</v>
      </c>
    </row>
    <row r="10098" spans="1:11">
      <c r="A10098">
        <f t="shared" si="26"/>
        <v>97</v>
      </c>
      <c r="B10098">
        <f t="shared" si="16"/>
        <v>20.1719598489228</v>
      </c>
      <c r="C10098">
        <f t="shared" si="17"/>
        <v>36.8881922746198</v>
      </c>
      <c r="D10098" s="15">
        <f>COS(($R$10003-$E$10006*$R$10007)/180*PI())*$E$10001*1.15+$D$10093</f>
        <v>5.33777949651357</v>
      </c>
      <c r="E10098" s="16">
        <f>SIN(($R$10003-$E$10006*$R$10007)/180*PI())*$E$10001*1.15+$E$10093</f>
        <v>26.4646285280185</v>
      </c>
      <c r="F10098" s="12">
        <f t="shared" si="18"/>
        <v>70.5</v>
      </c>
      <c r="G10098" s="12">
        <f t="shared" si="20"/>
        <v>22.751065433276</v>
      </c>
      <c r="H10098" s="12">
        <f t="shared" si="21"/>
        <v>24.1209433549574</v>
      </c>
      <c r="I10098" s="12">
        <f t="shared" si="19"/>
        <v>70.5</v>
      </c>
      <c r="J10098" s="12">
        <f t="shared" si="23"/>
        <v>22.751065433276</v>
      </c>
      <c r="K10098" s="12">
        <f t="shared" si="24"/>
        <v>24.1209433549574</v>
      </c>
    </row>
    <row r="10099" spans="1:11">
      <c r="A10099">
        <f t="shared" si="26"/>
        <v>98</v>
      </c>
      <c r="B10099">
        <f t="shared" si="16"/>
        <v>19.912403485599</v>
      </c>
      <c r="C10099">
        <f t="shared" si="17"/>
        <v>36.8540210311236</v>
      </c>
      <c r="D10099">
        <f>E10002</f>
        <v>22</v>
      </c>
      <c r="E10099">
        <f>E10003</f>
        <v>22</v>
      </c>
      <c r="F10099" s="12">
        <f t="shared" si="18"/>
        <v>71.25</v>
      </c>
      <c r="G10099" s="12">
        <f t="shared" si="20"/>
        <v>22.7232387969321</v>
      </c>
      <c r="H10099" s="12">
        <f t="shared" si="21"/>
        <v>24.130592791364</v>
      </c>
      <c r="I10099" s="12">
        <f t="shared" si="19"/>
        <v>71.25</v>
      </c>
      <c r="J10099" s="12">
        <f t="shared" si="23"/>
        <v>22.7232387969321</v>
      </c>
      <c r="K10099" s="12">
        <f t="shared" si="24"/>
        <v>24.130592791364</v>
      </c>
    </row>
    <row r="10100" spans="1:11">
      <c r="A10100">
        <f t="shared" si="26"/>
        <v>99</v>
      </c>
      <c r="B10100">
        <f t="shared" si="16"/>
        <v>19.6534830243965</v>
      </c>
      <c r="C10100">
        <f t="shared" si="17"/>
        <v>36.8153251089271</v>
      </c>
      <c r="D10100">
        <f>COS(($R$10003-$E$10006*($R$10007-$R$10008))/180*PI())*$E$10001+$D$10099</f>
        <v>9.00961894323342</v>
      </c>
      <c r="E10100">
        <f>SIN(($R$10003-$E$10006*($R$10007-$R$10008))/180*PI())*$E$10001+$E$10099</f>
        <v>29.5</v>
      </c>
      <c r="F10100" s="12">
        <f t="shared" si="18"/>
        <v>72</v>
      </c>
      <c r="G10100" s="12">
        <f t="shared" si="20"/>
        <v>22.6952882373436</v>
      </c>
      <c r="H10100" s="12">
        <f t="shared" si="21"/>
        <v>24.1398771616641</v>
      </c>
      <c r="I10100" s="12">
        <f t="shared" si="19"/>
        <v>72</v>
      </c>
      <c r="J10100" s="12">
        <f t="shared" si="23"/>
        <v>22.6952882373436</v>
      </c>
      <c r="K10100" s="12">
        <f t="shared" si="24"/>
        <v>24.1398771616641</v>
      </c>
    </row>
    <row r="10101" spans="1:11">
      <c r="A10101">
        <f t="shared" si="26"/>
        <v>100</v>
      </c>
      <c r="B10101">
        <f t="shared" si="16"/>
        <v>19.395277334996</v>
      </c>
      <c r="C10101">
        <f t="shared" si="17"/>
        <v>36.7721162951831</v>
      </c>
      <c r="D10101" s="1">
        <f>D10102-COS(($R$10003-$E$10006*($R$10007-$R$10008)-45)/180*PI())*$E$10007</f>
        <v>9.26843798833594</v>
      </c>
      <c r="E10101" s="1">
        <f>E10102-SIN(($R$10003-$E$10006*($R$10007-$R$10008)-45)/180*PI())*$E$10007</f>
        <v>28.5340741737109</v>
      </c>
      <c r="F10101" s="12">
        <f t="shared" ref="F10101:F10132" si="27">MOD(F10100-$E$10006*$H$10002,360)</f>
        <v>72.75</v>
      </c>
      <c r="G10101" s="12">
        <f t="shared" si="20"/>
        <v>22.667218543695</v>
      </c>
      <c r="H10101" s="12">
        <f t="shared" si="21"/>
        <v>24.1487948750287</v>
      </c>
      <c r="I10101" s="12">
        <f t="shared" ref="I10101:I10132" si="28">MOD(I10100-$E$10006*$K$10002,360)</f>
        <v>72.75</v>
      </c>
      <c r="J10101" s="12">
        <f t="shared" si="23"/>
        <v>22.667218543695</v>
      </c>
      <c r="K10101" s="12">
        <f t="shared" si="24"/>
        <v>24.1487948750287</v>
      </c>
    </row>
    <row r="10102" spans="1:11">
      <c r="A10102">
        <f t="shared" si="26"/>
        <v>101</v>
      </c>
      <c r="B10102">
        <f t="shared" si="16"/>
        <v>19.1378650693518</v>
      </c>
      <c r="C10102">
        <f t="shared" si="17"/>
        <v>36.724407751715</v>
      </c>
      <c r="D10102" s="1">
        <f>D10100</f>
        <v>9.00961894323342</v>
      </c>
      <c r="E10102" s="1">
        <f>E10100</f>
        <v>29.5</v>
      </c>
      <c r="F10102" s="12">
        <f t="shared" si="27"/>
        <v>73.5</v>
      </c>
      <c r="G10102" s="12">
        <f t="shared" si="20"/>
        <v>22.6390345255838</v>
      </c>
      <c r="H10102" s="12">
        <f t="shared" si="21"/>
        <v>24.1573444034534</v>
      </c>
      <c r="I10102" s="12">
        <f t="shared" si="28"/>
        <v>73.5</v>
      </c>
      <c r="J10102" s="12">
        <f t="shared" si="23"/>
        <v>22.6390345255838</v>
      </c>
      <c r="K10102" s="12">
        <f t="shared" si="24"/>
        <v>24.1573444034534</v>
      </c>
    </row>
    <row r="10103" spans="1:11">
      <c r="A10103">
        <f t="shared" si="26"/>
        <v>102</v>
      </c>
      <c r="B10103">
        <f t="shared" si="16"/>
        <v>18.8813246377336</v>
      </c>
      <c r="C10103">
        <f t="shared" si="17"/>
        <v>36.6722140110071</v>
      </c>
      <c r="D10103" s="1">
        <f>D10102-COS(($R$10003-$E$10006*($R$10007-$R$10008)+45)/180*PI())*$E$10007</f>
        <v>9.97554476952249</v>
      </c>
      <c r="E10103" s="1">
        <f>E10102-SIN(($R$10003-$E$10006*($R$10007-$R$10008)+45)/180*PI())*$E$10007</f>
        <v>29.7588190451025</v>
      </c>
      <c r="F10103" s="12">
        <f t="shared" si="27"/>
        <v>74.25</v>
      </c>
      <c r="G10103" s="12">
        <f t="shared" si="20"/>
        <v>22.6107410121964</v>
      </c>
      <c r="H10103" s="12">
        <f t="shared" si="21"/>
        <v>24.1655242820207</v>
      </c>
      <c r="I10103" s="12">
        <f t="shared" si="28"/>
        <v>74.25</v>
      </c>
      <c r="J10103" s="12">
        <f t="shared" si="23"/>
        <v>22.6107410121964</v>
      </c>
      <c r="K10103" s="12">
        <f t="shared" si="24"/>
        <v>24.1655242820207</v>
      </c>
    </row>
    <row r="10104" spans="1:11">
      <c r="A10104">
        <f t="shared" si="26"/>
        <v>103</v>
      </c>
      <c r="B10104">
        <f t="shared" si="16"/>
        <v>18.625734184842</v>
      </c>
      <c r="C10104">
        <f t="shared" si="17"/>
        <v>36.6155509717785</v>
      </c>
      <c r="D10104" s="15">
        <f>COS(($R$10003-$E$10006*($R$10007-$R$10008))/180*PI())*$E$10001*1.15+$D$10099</f>
        <v>7.06106178471843</v>
      </c>
      <c r="E10104" s="16">
        <f>SIN(($R$10003-$E$10006*($R$10007-$R$10008))/180*PI())*$E$10001*1.15+$E$10099</f>
        <v>30.625</v>
      </c>
      <c r="F10104" s="12">
        <f t="shared" si="27"/>
        <v>75</v>
      </c>
      <c r="G10104" s="12">
        <f t="shared" si="20"/>
        <v>22.5823428514807</v>
      </c>
      <c r="H10104" s="12">
        <f t="shared" si="21"/>
        <v>24.1733331091504</v>
      </c>
      <c r="I10104" s="12">
        <f t="shared" si="28"/>
        <v>75</v>
      </c>
      <c r="J10104" s="12">
        <f t="shared" si="23"/>
        <v>22.5823428514807</v>
      </c>
      <c r="K10104" s="12">
        <f t="shared" si="24"/>
        <v>24.1733331091504</v>
      </c>
    </row>
    <row r="10105" spans="1:11">
      <c r="A10105">
        <f t="shared" si="26"/>
        <v>104</v>
      </c>
      <c r="B10105">
        <f t="shared" si="16"/>
        <v>18.371171566005</v>
      </c>
      <c r="C10105">
        <f t="shared" si="17"/>
        <v>36.5544358941399</v>
      </c>
      <c r="F10105" s="12">
        <f t="shared" si="27"/>
        <v>75.75</v>
      </c>
      <c r="G10105" s="12">
        <f t="shared" si="20"/>
        <v>22.5538449093152</v>
      </c>
      <c r="H10105" s="12">
        <f t="shared" si="21"/>
        <v>24.1807695468402</v>
      </c>
      <c r="I10105" s="12">
        <f t="shared" si="28"/>
        <v>75.75</v>
      </c>
      <c r="J10105" s="12">
        <f t="shared" si="23"/>
        <v>22.5538449093152</v>
      </c>
      <c r="K10105" s="12">
        <f t="shared" si="24"/>
        <v>24.1807695468402</v>
      </c>
    </row>
    <row r="10106" spans="1:11">
      <c r="A10106">
        <f t="shared" si="26"/>
        <v>105</v>
      </c>
      <c r="B10106">
        <f t="shared" si="16"/>
        <v>18.1177143234622</v>
      </c>
      <c r="C10106">
        <f t="shared" si="17"/>
        <v>36.488887394336</v>
      </c>
      <c r="D10106" t="s">
        <v>67</v>
      </c>
      <c r="F10106" s="12">
        <f t="shared" si="27"/>
        <v>76.5</v>
      </c>
      <c r="G10106" s="12">
        <f t="shared" si="20"/>
        <v>22.5252520686758</v>
      </c>
      <c r="H10106" s="12">
        <f t="shared" si="21"/>
        <v>24.1878323208948</v>
      </c>
      <c r="I10106" s="12">
        <f t="shared" si="28"/>
        <v>76.5</v>
      </c>
      <c r="J10106" s="12">
        <f t="shared" si="23"/>
        <v>22.5252520686758</v>
      </c>
      <c r="K10106" s="12">
        <f t="shared" si="24"/>
        <v>24.1878323208948</v>
      </c>
    </row>
    <row r="10107" spans="1:11">
      <c r="A10107">
        <f t="shared" si="26"/>
        <v>106</v>
      </c>
      <c r="B10107">
        <f t="shared" si="16"/>
        <v>17.865439662745</v>
      </c>
      <c r="C10107">
        <f t="shared" si="17"/>
        <v>36.4189254390748</v>
      </c>
      <c r="D10107" s="14">
        <f>E10002</f>
        <v>22</v>
      </c>
      <c r="E10107" s="14">
        <f>E10003</f>
        <v>22</v>
      </c>
      <c r="F10107" s="12">
        <f t="shared" si="27"/>
        <v>77.25</v>
      </c>
      <c r="G10107" s="12">
        <f t="shared" si="20"/>
        <v>22.4965692287984</v>
      </c>
      <c r="H10107" s="12">
        <f t="shared" si="21"/>
        <v>24.1945202211442</v>
      </c>
      <c r="I10107" s="12">
        <f t="shared" si="28"/>
        <v>77.25</v>
      </c>
      <c r="J10107" s="12">
        <f t="shared" si="23"/>
        <v>22.4965692287984</v>
      </c>
      <c r="K10107" s="12">
        <f t="shared" si="24"/>
        <v>24.1945202211442</v>
      </c>
    </row>
    <row r="10108" spans="1:11">
      <c r="A10108">
        <f t="shared" si="26"/>
        <v>107</v>
      </c>
      <c r="B10108">
        <f t="shared" si="16"/>
        <v>17.614424429159</v>
      </c>
      <c r="C10108">
        <f t="shared" si="17"/>
        <v>36.3445713394455</v>
      </c>
      <c r="D10108" s="14">
        <f>COS(($R$10004-$E$10006*$R$10011)/180*PI())*$E$10001+D10107</f>
        <v>7.51111260566398</v>
      </c>
      <c r="E10108" s="14">
        <f>SIN(($R$10004-$E$10006*$R$10011)/180*PI())*$E$10001+E10107</f>
        <v>25.8822856765378</v>
      </c>
      <c r="F10108" s="12">
        <f t="shared" si="27"/>
        <v>78</v>
      </c>
      <c r="G10108" s="12">
        <f t="shared" si="20"/>
        <v>22.46780130434</v>
      </c>
      <c r="H10108" s="12">
        <f t="shared" si="21"/>
        <v>24.2008321016511</v>
      </c>
      <c r="I10108" s="12">
        <f t="shared" si="28"/>
        <v>78</v>
      </c>
      <c r="J10108" s="12">
        <f t="shared" si="23"/>
        <v>22.46780130434</v>
      </c>
      <c r="K10108" s="12">
        <f t="shared" si="24"/>
        <v>24.2008321016511</v>
      </c>
    </row>
    <row r="10109" spans="1:11">
      <c r="A10109">
        <f t="shared" si="26"/>
        <v>108</v>
      </c>
      <c r="B10109">
        <f t="shared" si="16"/>
        <v>17.3647450843758</v>
      </c>
      <c r="C10109">
        <f t="shared" si="17"/>
        <v>36.2658477444273</v>
      </c>
      <c r="D10109" s="1">
        <f>D10110-COS(($R$10004-$E$10006*$R$10011-45)/180*PI())*$E$10007</f>
        <v>8.01111260566398</v>
      </c>
      <c r="E10109" s="1">
        <f>E10110-SIN(($R$10004-$E$10006*$R$10011-45)/180*PI())*$E$10007</f>
        <v>25.0162602727534</v>
      </c>
      <c r="F10109" s="12">
        <f t="shared" si="27"/>
        <v>78.75</v>
      </c>
      <c r="G10109" s="12">
        <f t="shared" si="20"/>
        <v>22.4389532245363</v>
      </c>
      <c r="H10109" s="12">
        <f t="shared" si="21"/>
        <v>24.2067668809073</v>
      </c>
      <c r="I10109" s="12">
        <f t="shared" si="28"/>
        <v>78.75</v>
      </c>
      <c r="J10109" s="12">
        <f t="shared" si="23"/>
        <v>22.4389532245363</v>
      </c>
      <c r="K10109" s="12">
        <f t="shared" si="24"/>
        <v>24.2067668809073</v>
      </c>
    </row>
    <row r="10110" spans="1:11">
      <c r="A10110">
        <f t="shared" si="26"/>
        <v>109</v>
      </c>
      <c r="B10110">
        <f t="shared" si="16"/>
        <v>17.1164776831427</v>
      </c>
      <c r="C10110">
        <f t="shared" si="17"/>
        <v>36.1827786339898</v>
      </c>
      <c r="D10110" s="1">
        <f>D10108</f>
        <v>7.51111260566398</v>
      </c>
      <c r="E10110" s="1">
        <f>E10108</f>
        <v>25.8822856765378</v>
      </c>
      <c r="F10110" s="12">
        <f t="shared" si="27"/>
        <v>79.5</v>
      </c>
      <c r="G10110" s="12">
        <f t="shared" si="20"/>
        <v>22.4100299323573</v>
      </c>
      <c r="H10110" s="12">
        <f t="shared" si="21"/>
        <v>24.2123235420189</v>
      </c>
      <c r="I10110" s="12">
        <f t="shared" si="28"/>
        <v>79.5</v>
      </c>
      <c r="J10110" s="12">
        <f t="shared" si="23"/>
        <v>22.4100299323573</v>
      </c>
      <c r="K10110" s="12">
        <f t="shared" si="24"/>
        <v>24.2123235420189</v>
      </c>
    </row>
    <row r="10111" spans="1:11">
      <c r="A10111">
        <f t="shared" si="26"/>
        <v>110</v>
      </c>
      <c r="B10111">
        <f t="shared" si="16"/>
        <v>16.869697850115</v>
      </c>
      <c r="C10111">
        <f t="shared" si="17"/>
        <v>36.0953893117886</v>
      </c>
      <c r="D10111" s="1">
        <f>D10110-COS(($R$10004-$E$10006*$R$10011+45)/180*PI())*$E$10007</f>
        <v>8.37713800944842</v>
      </c>
      <c r="E10111" s="1">
        <f>E10110-SIN(($R$10004-$E$10006*$R$10011+45)/180*PI())*$E$10007</f>
        <v>26.3822856765378</v>
      </c>
      <c r="F10111" s="12">
        <f t="shared" si="27"/>
        <v>80.25</v>
      </c>
      <c r="G10111" s="12">
        <f t="shared" si="20"/>
        <v>22.3810363836603</v>
      </c>
      <c r="H10111" s="12">
        <f t="shared" si="21"/>
        <v>24.2175011328807</v>
      </c>
      <c r="I10111" s="12">
        <f t="shared" si="28"/>
        <v>80.25</v>
      </c>
      <c r="J10111" s="12">
        <f t="shared" si="23"/>
        <v>22.3810363836603</v>
      </c>
      <c r="K10111" s="12">
        <f t="shared" si="24"/>
        <v>24.2175011328807</v>
      </c>
    </row>
    <row r="10112" spans="1:11">
      <c r="A10112">
        <f t="shared" si="26"/>
        <v>111</v>
      </c>
      <c r="B10112">
        <f t="shared" si="16"/>
        <v>16.6244807568205</v>
      </c>
      <c r="C10112">
        <f t="shared" si="17"/>
        <v>36.003706397458</v>
      </c>
      <c r="D10112" s="15">
        <f>COS(($R$10004-$E$10006*$R$10011)/180*PI())*$E$10001*1.15+D10107</f>
        <v>5.33777949651357</v>
      </c>
      <c r="E10112" s="16">
        <f>SIN(($R$10004-$E$10006*$R$10011)/180*PI())*$E$10001*1.15+E10107</f>
        <v>26.4646285280185</v>
      </c>
      <c r="F10112" s="12">
        <f t="shared" si="27"/>
        <v>81</v>
      </c>
      <c r="G10112" s="12">
        <f t="shared" si="20"/>
        <v>22.3519775463405</v>
      </c>
      <c r="H10112" s="12">
        <f t="shared" si="21"/>
        <v>24.2222987663391</v>
      </c>
      <c r="I10112" s="12">
        <f t="shared" si="28"/>
        <v>81</v>
      </c>
      <c r="J10112" s="12">
        <f t="shared" si="23"/>
        <v>22.3519775463405</v>
      </c>
      <c r="K10112" s="12">
        <f t="shared" si="24"/>
        <v>24.2222987663391</v>
      </c>
    </row>
    <row r="10113" spans="1:11">
      <c r="A10113">
        <f t="shared" si="26"/>
        <v>112</v>
      </c>
      <c r="B10113">
        <f t="shared" si="16"/>
        <v>16.3809010987613</v>
      </c>
      <c r="C10113">
        <f t="shared" si="17"/>
        <v>35.9077578185018</v>
      </c>
      <c r="D10113">
        <f>E10002</f>
        <v>22</v>
      </c>
      <c r="E10113">
        <f>E10003</f>
        <v>22</v>
      </c>
      <c r="F10113" s="12">
        <f t="shared" si="27"/>
        <v>81.75</v>
      </c>
      <c r="G10113" s="12">
        <f t="shared" si="20"/>
        <v>22.3228583994802</v>
      </c>
      <c r="H10113" s="12">
        <f t="shared" si="21"/>
        <v>24.2267156203443</v>
      </c>
      <c r="I10113" s="12">
        <f t="shared" si="28"/>
        <v>81.75</v>
      </c>
      <c r="J10113" s="12">
        <f t="shared" si="23"/>
        <v>22.3228583994802</v>
      </c>
      <c r="K10113" s="12">
        <f t="shared" si="24"/>
        <v>24.2267156203443</v>
      </c>
    </row>
    <row r="10114" spans="1:11">
      <c r="A10114">
        <f t="shared" si="26"/>
        <v>113</v>
      </c>
      <c r="B10114">
        <f t="shared" si="16"/>
        <v>16.1390330726609</v>
      </c>
      <c r="C10114">
        <f t="shared" si="17"/>
        <v>35.8075728017866</v>
      </c>
      <c r="D10114">
        <f>COS(($R$10004-$E$10006*($R$10011-$R$10012))/180*PI())*$E$10001+D10113</f>
        <v>9.00961894323342</v>
      </c>
      <c r="E10114">
        <f>SIN(($R$10004-$E$10006*($R$10011-$R$10012))/180*PI())*$E$10001+E10113</f>
        <v>29.5</v>
      </c>
      <c r="F10114" s="12">
        <f t="shared" si="27"/>
        <v>82.5</v>
      </c>
      <c r="G10114" s="12">
        <f t="shared" si="20"/>
        <v>22.2936839324951</v>
      </c>
      <c r="H10114" s="12">
        <f t="shared" si="21"/>
        <v>24.2307509380911</v>
      </c>
      <c r="I10114" s="12">
        <f t="shared" si="28"/>
        <v>82.5</v>
      </c>
      <c r="J10114" s="12">
        <f t="shared" si="23"/>
        <v>22.2936839324951</v>
      </c>
      <c r="K10114" s="12">
        <f t="shared" si="24"/>
        <v>24.2307509380911</v>
      </c>
    </row>
    <row r="10115" spans="1:11">
      <c r="A10115">
        <f t="shared" si="26"/>
        <v>114</v>
      </c>
      <c r="B10115">
        <f t="shared" si="16"/>
        <v>15.898950353863</v>
      </c>
      <c r="C10115">
        <f t="shared" si="17"/>
        <v>35.703181864639</v>
      </c>
      <c r="D10115" s="1">
        <f>D10116-COS(($R$10004-$E$10006*($R$10011-$R$10012)-45)/180*PI())*$E$10007</f>
        <v>9.26843798833594</v>
      </c>
      <c r="E10115" s="1">
        <f>E10116-SIN(($R$10004-$E$10006*($R$10011-$R$10012)-45)/180*PI())*$E$10007</f>
        <v>28.5340741737109</v>
      </c>
      <c r="F10115" s="12">
        <f t="shared" si="27"/>
        <v>83.25</v>
      </c>
      <c r="G10115" s="12">
        <f t="shared" si="20"/>
        <v>22.2644591442801</v>
      </c>
      <c r="H10115" s="12">
        <f t="shared" si="21"/>
        <v>24.2344040281486</v>
      </c>
      <c r="I10115" s="12">
        <f t="shared" si="28"/>
        <v>83.25</v>
      </c>
      <c r="J10115" s="12">
        <f t="shared" si="23"/>
        <v>22.2644591442801</v>
      </c>
      <c r="K10115" s="12">
        <f t="shared" si="24"/>
        <v>24.2344040281486</v>
      </c>
    </row>
    <row r="10116" spans="1:11">
      <c r="A10116">
        <f t="shared" si="26"/>
        <v>115</v>
      </c>
      <c r="B10116">
        <f t="shared" si="16"/>
        <v>15.6607260738895</v>
      </c>
      <c r="C10116">
        <f t="shared" si="17"/>
        <v>35.5946168055497</v>
      </c>
      <c r="D10116" s="1">
        <f>D10114</f>
        <v>9.00961894323342</v>
      </c>
      <c r="E10116" s="1">
        <f>E10114</f>
        <v>29.5</v>
      </c>
      <c r="F10116" s="12">
        <f t="shared" si="27"/>
        <v>84</v>
      </c>
      <c r="G10116" s="12">
        <f t="shared" si="20"/>
        <v>22.2351890423522</v>
      </c>
      <c r="H10116" s="12">
        <f t="shared" si="21"/>
        <v>24.2376742645786</v>
      </c>
      <c r="I10116" s="12">
        <f t="shared" si="28"/>
        <v>84</v>
      </c>
      <c r="J10116" s="12">
        <f t="shared" si="23"/>
        <v>22.2351890423522</v>
      </c>
      <c r="K10116" s="12">
        <f t="shared" si="24"/>
        <v>24.2376742645786</v>
      </c>
    </row>
    <row r="10117" spans="1:11">
      <c r="A10117">
        <f t="shared" si="26"/>
        <v>116</v>
      </c>
      <c r="B10117">
        <f t="shared" si="16"/>
        <v>15.4244327981638</v>
      </c>
      <c r="C10117">
        <f t="shared" si="17"/>
        <v>35.4819106944875</v>
      </c>
      <c r="D10117" s="1">
        <f>D10116-COS(($R$10004-$E$10006*($R$10011-$R$10012)+45)/180*PI())*$E$10007</f>
        <v>9.97554476952249</v>
      </c>
      <c r="E10117" s="1">
        <f>E10116-SIN(($R$10004-$E$10006*($R$10011-$R$10012)+45)/180*PI())*$E$10007</f>
        <v>29.7588190451025</v>
      </c>
      <c r="F10117" s="12">
        <f t="shared" si="27"/>
        <v>84.75</v>
      </c>
      <c r="G10117" s="12">
        <f t="shared" si="20"/>
        <v>22.2058786419927</v>
      </c>
      <c r="H10117" s="12">
        <f t="shared" si="21"/>
        <v>24.240561087043</v>
      </c>
      <c r="I10117" s="12">
        <f t="shared" si="28"/>
        <v>84.75</v>
      </c>
      <c r="J10117" s="12">
        <f t="shared" si="23"/>
        <v>22.2058786419927</v>
      </c>
      <c r="K10117" s="12">
        <f t="shared" si="24"/>
        <v>24.240561087043</v>
      </c>
    </row>
    <row r="10118" spans="1:11">
      <c r="A10118">
        <f t="shared" si="26"/>
        <v>117</v>
      </c>
      <c r="B10118">
        <f t="shared" si="16"/>
        <v>15.1901425039068</v>
      </c>
      <c r="C10118">
        <f t="shared" si="17"/>
        <v>35.3650978628255</v>
      </c>
      <c r="D10118" s="15">
        <f>COS(($R$10004-$E$10006*($R$10011-$R$10012))/180*PI())*$E$10001*1.15+D10113</f>
        <v>7.06106178471843</v>
      </c>
      <c r="E10118" s="16">
        <f>SIN(($R$10004-$E$10006*($R$10011-$R$10012))/180*PI())*$E$10001*1.15+E10113</f>
        <v>30.625</v>
      </c>
      <c r="F10118" s="12">
        <f t="shared" si="27"/>
        <v>85.5</v>
      </c>
      <c r="G10118" s="12">
        <f t="shared" si="20"/>
        <v>22.1765329653877</v>
      </c>
      <c r="H10118" s="12">
        <f t="shared" si="21"/>
        <v>24.2430640008995</v>
      </c>
      <c r="I10118" s="12">
        <f t="shared" si="28"/>
        <v>85.5</v>
      </c>
      <c r="J10118" s="12">
        <f t="shared" si="23"/>
        <v>22.1765329653877</v>
      </c>
      <c r="K10118" s="12">
        <f t="shared" si="24"/>
        <v>24.2430640008995</v>
      </c>
    </row>
    <row r="10119" spans="1:11">
      <c r="A10119">
        <f t="shared" si="26"/>
        <v>118</v>
      </c>
      <c r="B10119">
        <f t="shared" si="16"/>
        <v>14.9579265582116</v>
      </c>
      <c r="C10119">
        <f t="shared" si="17"/>
        <v>35.2442138928839</v>
      </c>
      <c r="F10119" s="12">
        <f t="shared" si="27"/>
        <v>86.25</v>
      </c>
      <c r="G10119" s="12">
        <f t="shared" si="20"/>
        <v>22.1471570407678</v>
      </c>
      <c r="H10119" s="12">
        <f t="shared" si="21"/>
        <v>24.2451825772869</v>
      </c>
      <c r="I10119" s="12">
        <f t="shared" si="28"/>
        <v>86.25</v>
      </c>
      <c r="J10119" s="12">
        <f t="shared" si="23"/>
        <v>22.1471570407678</v>
      </c>
      <c r="K10119" s="12">
        <f t="shared" si="24"/>
        <v>24.2451825772869</v>
      </c>
    </row>
    <row r="10120" spans="1:11">
      <c r="A10120">
        <f t="shared" si="26"/>
        <v>119</v>
      </c>
      <c r="B10120">
        <f t="shared" si="16"/>
        <v>14.7278556963049</v>
      </c>
      <c r="C10120">
        <f t="shared" si="17"/>
        <v>35.1192956070909</v>
      </c>
      <c r="F10120" s="12">
        <f t="shared" si="27"/>
        <v>87</v>
      </c>
      <c r="G10120" s="12">
        <f t="shared" si="20"/>
        <v>22.1177559015466</v>
      </c>
      <c r="H10120" s="12">
        <f t="shared" si="21"/>
        <v>24.2469164531978</v>
      </c>
      <c r="I10120" s="12">
        <f t="shared" si="28"/>
        <v>87</v>
      </c>
      <c r="J10120" s="12">
        <f t="shared" si="23"/>
        <v>22.1177559015466</v>
      </c>
      <c r="K10120" s="12">
        <f t="shared" si="24"/>
        <v>24.2469164531978</v>
      </c>
    </row>
    <row r="10121" spans="1:11">
      <c r="A10121">
        <f t="shared" si="26"/>
        <v>120</v>
      </c>
      <c r="B10121">
        <f t="shared" si="16"/>
        <v>14.5</v>
      </c>
      <c r="C10121">
        <f t="shared" si="17"/>
        <v>34.9903810567666</v>
      </c>
      <c r="F10121" s="12">
        <f t="shared" si="27"/>
        <v>87.75</v>
      </c>
      <c r="G10121" s="12">
        <f t="shared" si="20"/>
        <v>22.0883345854579</v>
      </c>
      <c r="H10121" s="12">
        <f t="shared" si="21"/>
        <v>24.2482653315416</v>
      </c>
      <c r="I10121" s="12">
        <f t="shared" si="28"/>
        <v>87.75</v>
      </c>
      <c r="J10121" s="12">
        <f t="shared" si="23"/>
        <v>22.0883345854579</v>
      </c>
      <c r="K10121" s="12">
        <f t="shared" si="24"/>
        <v>24.2482653315416</v>
      </c>
    </row>
    <row r="10122" spans="1:11">
      <c r="A10122">
        <f t="shared" si="26"/>
        <v>121</v>
      </c>
      <c r="B10122">
        <f t="shared" si="16"/>
        <v>14.2744288763492</v>
      </c>
      <c r="C10122">
        <f t="shared" si="17"/>
        <v>34.8575095105317</v>
      </c>
      <c r="F10122" s="12">
        <f t="shared" si="27"/>
        <v>88.5</v>
      </c>
      <c r="G10122" s="12">
        <f t="shared" si="20"/>
        <v>22.0588981336927</v>
      </c>
      <c r="H10122" s="12">
        <f t="shared" si="21"/>
        <v>24.249228981195</v>
      </c>
      <c r="I10122" s="12">
        <f t="shared" si="28"/>
        <v>88.5</v>
      </c>
      <c r="J10122" s="12">
        <f t="shared" si="23"/>
        <v>22.0588981336927</v>
      </c>
      <c r="K10122" s="12">
        <f t="shared" si="24"/>
        <v>24.249228981195</v>
      </c>
    </row>
    <row r="10123" spans="1:11">
      <c r="A10123">
        <f t="shared" si="26"/>
        <v>122</v>
      </c>
      <c r="B10123">
        <f t="shared" si="16"/>
        <v>14.0512110365019</v>
      </c>
      <c r="C10123">
        <f t="shared" si="17"/>
        <v>34.7207214423464</v>
      </c>
      <c r="F10123" s="12">
        <f t="shared" si="27"/>
        <v>89.25</v>
      </c>
      <c r="G10123" s="12">
        <f t="shared" si="20"/>
        <v>22.0294515900355</v>
      </c>
      <c r="H10123" s="12">
        <f t="shared" si="21"/>
        <v>24.2498072370415</v>
      </c>
      <c r="I10123" s="12">
        <f t="shared" si="28"/>
        <v>89.25</v>
      </c>
      <c r="J10123" s="12">
        <f t="shared" si="23"/>
        <v>22.0294515900355</v>
      </c>
      <c r="K10123" s="12">
        <f t="shared" si="24"/>
        <v>24.2498072370415</v>
      </c>
    </row>
    <row r="10124" spans="1:11">
      <c r="A10124">
        <f t="shared" si="26"/>
        <v>123</v>
      </c>
      <c r="B10124">
        <f t="shared" si="16"/>
        <v>13.8304144747746</v>
      </c>
      <c r="C10124">
        <f t="shared" si="17"/>
        <v>34.5800585191814</v>
      </c>
      <c r="F10124" s="12">
        <f t="shared" si="27"/>
        <v>90</v>
      </c>
      <c r="G10124" s="12">
        <f t="shared" si="20"/>
        <v>22</v>
      </c>
      <c r="H10124" s="12">
        <f t="shared" si="21"/>
        <v>24.25</v>
      </c>
      <c r="I10124" s="12">
        <f t="shared" si="28"/>
        <v>90</v>
      </c>
      <c r="J10124" s="12">
        <f t="shared" si="23"/>
        <v>22</v>
      </c>
      <c r="K10124" s="12">
        <f t="shared" si="24"/>
        <v>24.25</v>
      </c>
    </row>
    <row r="10125" spans="1:11">
      <c r="A10125">
        <f t="shared" si="26"/>
        <v>124</v>
      </c>
      <c r="B10125">
        <f t="shared" si="16"/>
        <v>13.6121064479388</v>
      </c>
      <c r="C10125">
        <f t="shared" si="17"/>
        <v>34.4355635883256</v>
      </c>
      <c r="F10125" s="12">
        <f t="shared" si="27"/>
        <v>90.75</v>
      </c>
      <c r="G10125" s="12">
        <f t="shared" si="20"/>
        <v>21.9705484099645</v>
      </c>
      <c r="H10125" s="12">
        <f t="shared" si="21"/>
        <v>24.2498072370415</v>
      </c>
      <c r="I10125" s="12">
        <f t="shared" si="28"/>
        <v>90.75</v>
      </c>
      <c r="J10125" s="12">
        <f t="shared" si="23"/>
        <v>21.9705484099645</v>
      </c>
      <c r="K10125" s="12">
        <f t="shared" si="24"/>
        <v>24.2498072370415</v>
      </c>
    </row>
    <row r="10126" spans="1:11">
      <c r="A10126">
        <f t="shared" si="26"/>
        <v>125</v>
      </c>
      <c r="B10126">
        <f t="shared" si="16"/>
        <v>13.3963534547343</v>
      </c>
      <c r="C10126">
        <f t="shared" si="17"/>
        <v>34.2872806643349</v>
      </c>
      <c r="F10126" s="12">
        <f t="shared" si="27"/>
        <v>91.5</v>
      </c>
      <c r="G10126" s="12">
        <f t="shared" si="20"/>
        <v>21.9411018663073</v>
      </c>
      <c r="H10126" s="12">
        <f t="shared" si="21"/>
        <v>24.249228981195</v>
      </c>
      <c r="I10126" s="12">
        <f t="shared" si="28"/>
        <v>91.5</v>
      </c>
      <c r="J10126" s="12">
        <f t="shared" si="23"/>
        <v>21.9411018663073</v>
      </c>
      <c r="K10126" s="12">
        <f t="shared" si="24"/>
        <v>24.249228981195</v>
      </c>
    </row>
    <row r="10127" spans="1:11">
      <c r="A10127">
        <f t="shared" si="26"/>
        <v>126</v>
      </c>
      <c r="B10127">
        <f t="shared" si="16"/>
        <v>13.1832212156129</v>
      </c>
      <c r="C10127">
        <f t="shared" si="17"/>
        <v>34.1352549156242</v>
      </c>
      <c r="F10127" s="12">
        <f t="shared" si="27"/>
        <v>92.25</v>
      </c>
      <c r="G10127" s="12">
        <f t="shared" si="20"/>
        <v>21.9116654145421</v>
      </c>
      <c r="H10127" s="12">
        <f t="shared" si="21"/>
        <v>24.2482653315416</v>
      </c>
      <c r="I10127" s="12">
        <f t="shared" si="28"/>
        <v>92.25</v>
      </c>
      <c r="J10127" s="12">
        <f t="shared" si="23"/>
        <v>21.9116654145421</v>
      </c>
      <c r="K10127" s="12">
        <f t="shared" si="24"/>
        <v>24.2482653315416</v>
      </c>
    </row>
    <row r="10128" spans="1:11">
      <c r="A10128">
        <f t="shared" si="26"/>
        <v>127</v>
      </c>
      <c r="B10128">
        <f t="shared" si="16"/>
        <v>12.9727746527193</v>
      </c>
      <c r="C10128">
        <f t="shared" si="17"/>
        <v>33.9795326507094</v>
      </c>
      <c r="F10128" s="12">
        <f t="shared" si="27"/>
        <v>93</v>
      </c>
      <c r="G10128" s="12">
        <f t="shared" si="20"/>
        <v>21.8822440984534</v>
      </c>
      <c r="H10128" s="12">
        <f t="shared" si="21"/>
        <v>24.2469164531978</v>
      </c>
      <c r="I10128" s="12">
        <f t="shared" si="28"/>
        <v>93</v>
      </c>
      <c r="J10128" s="12">
        <f t="shared" si="23"/>
        <v>21.8822440984534</v>
      </c>
      <c r="K10128" s="12">
        <f t="shared" si="24"/>
        <v>24.2469164531978</v>
      </c>
    </row>
    <row r="10129" spans="1:11">
      <c r="A10129">
        <f t="shared" si="26"/>
        <v>128</v>
      </c>
      <c r="B10129">
        <f t="shared" ref="B10129:B10192" si="29">COS(A10129/180*PI())*$E$10001+$E$10002</f>
        <v>12.7650778701151</v>
      </c>
      <c r="C10129">
        <f t="shared" ref="C10129:C10192" si="30">SIN(A10129/180*PI())*$E$10001+$E$10003</f>
        <v>33.8201613041008</v>
      </c>
      <c r="F10129" s="12">
        <f t="shared" si="27"/>
        <v>93.75</v>
      </c>
      <c r="G10129" s="12">
        <f t="shared" si="20"/>
        <v>21.8528429592322</v>
      </c>
      <c r="H10129" s="12">
        <f t="shared" si="21"/>
        <v>24.2451825772869</v>
      </c>
      <c r="I10129" s="12">
        <f t="shared" si="28"/>
        <v>93.75</v>
      </c>
      <c r="J10129" s="12">
        <f t="shared" si="23"/>
        <v>21.8528429592322</v>
      </c>
      <c r="K10129" s="12">
        <f t="shared" si="24"/>
        <v>24.2451825772869</v>
      </c>
    </row>
    <row r="10130" spans="1:11">
      <c r="A10130">
        <f t="shared" si="26"/>
        <v>129</v>
      </c>
      <c r="B10130">
        <f t="shared" si="29"/>
        <v>12.5601941342524</v>
      </c>
      <c r="C10130">
        <f t="shared" si="30"/>
        <v>33.6571894218546</v>
      </c>
      <c r="F10130" s="12">
        <f t="shared" si="27"/>
        <v>94.5</v>
      </c>
      <c r="G10130" s="12">
        <f t="shared" si="20"/>
        <v>21.8234670346123</v>
      </c>
      <c r="H10130" s="12">
        <f t="shared" si="21"/>
        <v>24.2430640008995</v>
      </c>
      <c r="I10130" s="12">
        <f t="shared" si="28"/>
        <v>94.5</v>
      </c>
      <c r="J10130" s="12">
        <f t="shared" si="23"/>
        <v>21.8234670346123</v>
      </c>
      <c r="K10130" s="12">
        <f t="shared" si="24"/>
        <v>24.2430640008995</v>
      </c>
    </row>
    <row r="10131" spans="1:11">
      <c r="A10131">
        <f t="shared" si="26"/>
        <v>130</v>
      </c>
      <c r="B10131">
        <f t="shared" si="29"/>
        <v>12.3581858547019</v>
      </c>
      <c r="C10131">
        <f t="shared" si="30"/>
        <v>33.4906666467847</v>
      </c>
      <c r="F10131" s="12">
        <f t="shared" si="27"/>
        <v>95.25</v>
      </c>
      <c r="G10131" s="12">
        <f t="shared" si="20"/>
        <v>21.7941213580073</v>
      </c>
      <c r="H10131" s="12">
        <f t="shared" si="21"/>
        <v>24.240561087043</v>
      </c>
      <c r="I10131" s="12">
        <f t="shared" si="28"/>
        <v>95.25</v>
      </c>
      <c r="J10131" s="12">
        <f t="shared" si="23"/>
        <v>21.7941213580073</v>
      </c>
      <c r="K10131" s="12">
        <f t="shared" si="24"/>
        <v>24.240561087043</v>
      </c>
    </row>
    <row r="10132" spans="1:11">
      <c r="A10132">
        <f t="shared" si="26"/>
        <v>131</v>
      </c>
      <c r="B10132">
        <f t="shared" si="29"/>
        <v>12.1591145651424</v>
      </c>
      <c r="C10132">
        <f t="shared" si="30"/>
        <v>33.3206437033416</v>
      </c>
      <c r="F10132" s="12">
        <f t="shared" si="27"/>
        <v>96</v>
      </c>
      <c r="G10132" s="12">
        <f t="shared" si="20"/>
        <v>21.7648109576478</v>
      </c>
      <c r="H10132" s="12">
        <f t="shared" si="21"/>
        <v>24.2376742645786</v>
      </c>
      <c r="I10132" s="12">
        <f t="shared" si="28"/>
        <v>96</v>
      </c>
      <c r="J10132" s="12">
        <f t="shared" si="23"/>
        <v>21.7648109576478</v>
      </c>
      <c r="K10132" s="12">
        <f t="shared" si="24"/>
        <v>24.2376742645786</v>
      </c>
    </row>
    <row r="10133" spans="1:11">
      <c r="A10133">
        <f t="shared" si="26"/>
        <v>132</v>
      </c>
      <c r="B10133">
        <f t="shared" si="29"/>
        <v>11.9630409046171</v>
      </c>
      <c r="C10133">
        <f t="shared" si="30"/>
        <v>33.1471723821609</v>
      </c>
      <c r="F10133" s="12">
        <f t="shared" ref="F10133:F10164" si="31">MOD(F10132-$E$10006*$H$10002,360)</f>
        <v>96.75</v>
      </c>
      <c r="G10133" s="12">
        <f t="shared" si="20"/>
        <v>21.7355408557199</v>
      </c>
      <c r="H10133" s="12">
        <f t="shared" si="21"/>
        <v>24.2344040281486</v>
      </c>
      <c r="I10133" s="12">
        <f t="shared" ref="I10133:I10164" si="32">MOD(I10132-$E$10006*$K$10002,360)</f>
        <v>96.75</v>
      </c>
      <c r="J10133" s="12">
        <f t="shared" si="23"/>
        <v>21.7355408557199</v>
      </c>
      <c r="K10133" s="12">
        <f t="shared" si="24"/>
        <v>24.2344040281486</v>
      </c>
    </row>
    <row r="10134" spans="1:11">
      <c r="A10134">
        <f t="shared" si="26"/>
        <v>133</v>
      </c>
      <c r="B10134">
        <f t="shared" si="29"/>
        <v>11.7700245990625</v>
      </c>
      <c r="C10134">
        <f t="shared" si="30"/>
        <v>32.9703055242876</v>
      </c>
      <c r="F10134" s="12">
        <f t="shared" si="31"/>
        <v>97.5</v>
      </c>
      <c r="G10134" s="12">
        <f t="shared" ref="G10134:G10197" si="33">COS(F10134/180*PI())*$E$10001*$R$10019+$E$10002</f>
        <v>21.7063160675049</v>
      </c>
      <c r="H10134" s="12">
        <f t="shared" ref="H10134:H10197" si="34">SIN(F10134/180*PI())*$E$10001*$R$10019+$E$10003</f>
        <v>24.2307509380911</v>
      </c>
      <c r="I10134" s="12">
        <f t="shared" si="32"/>
        <v>97.5</v>
      </c>
      <c r="J10134" s="12">
        <f t="shared" si="23"/>
        <v>21.7063160675049</v>
      </c>
      <c r="K10134" s="12">
        <f t="shared" si="24"/>
        <v>24.2307509380911</v>
      </c>
    </row>
    <row r="10135" spans="1:11">
      <c r="A10135">
        <f t="shared" si="26"/>
        <v>134</v>
      </c>
      <c r="B10135">
        <f t="shared" si="29"/>
        <v>11.580124443115</v>
      </c>
      <c r="C10135">
        <f t="shared" si="30"/>
        <v>32.7900970050798</v>
      </c>
      <c r="F10135" s="12">
        <f t="shared" si="31"/>
        <v>98.25</v>
      </c>
      <c r="G10135" s="12">
        <f t="shared" si="33"/>
        <v>21.6771416005198</v>
      </c>
      <c r="H10135" s="12">
        <f t="shared" si="34"/>
        <v>24.2267156203443</v>
      </c>
      <c r="I10135" s="12">
        <f t="shared" si="32"/>
        <v>98.25</v>
      </c>
      <c r="J10135" s="12">
        <f t="shared" si="23"/>
        <v>21.6771416005198</v>
      </c>
      <c r="K10135" s="12">
        <f t="shared" si="24"/>
        <v>24.2267156203443</v>
      </c>
    </row>
    <row r="10136" spans="1:11">
      <c r="A10136">
        <f t="shared" si="26"/>
        <v>135</v>
      </c>
      <c r="B10136">
        <f t="shared" si="29"/>
        <v>11.3933982822018</v>
      </c>
      <c r="C10136">
        <f t="shared" si="30"/>
        <v>32.6066017177982</v>
      </c>
      <c r="F10136" s="12">
        <f t="shared" si="31"/>
        <v>99</v>
      </c>
      <c r="G10136" s="12">
        <f t="shared" si="33"/>
        <v>21.6480224536595</v>
      </c>
      <c r="H10136" s="12">
        <f t="shared" si="34"/>
        <v>24.2222987663391</v>
      </c>
      <c r="I10136" s="12">
        <f t="shared" si="32"/>
        <v>99</v>
      </c>
      <c r="J10136" s="12">
        <f t="shared" si="23"/>
        <v>21.6480224536595</v>
      </c>
      <c r="K10136" s="12">
        <f t="shared" si="24"/>
        <v>24.2222987663391</v>
      </c>
    </row>
    <row r="10137" spans="1:11">
      <c r="A10137">
        <f t="shared" si="26"/>
        <v>136</v>
      </c>
      <c r="B10137">
        <f t="shared" si="29"/>
        <v>11.2099029949202</v>
      </c>
      <c r="C10137">
        <f t="shared" si="30"/>
        <v>32.419875556885</v>
      </c>
      <c r="F10137" s="12">
        <f t="shared" si="31"/>
        <v>99.75</v>
      </c>
      <c r="G10137" s="12">
        <f t="shared" si="33"/>
        <v>21.6189636163397</v>
      </c>
      <c r="H10137" s="12">
        <f t="shared" si="34"/>
        <v>24.2175011328807</v>
      </c>
      <c r="I10137" s="12">
        <f t="shared" si="32"/>
        <v>99.75</v>
      </c>
      <c r="J10137" s="12">
        <f t="shared" si="23"/>
        <v>21.6189636163397</v>
      </c>
      <c r="K10137" s="12">
        <f t="shared" si="24"/>
        <v>24.2175011328807</v>
      </c>
    </row>
    <row r="10138" spans="1:11">
      <c r="A10138">
        <f t="shared" si="26"/>
        <v>137</v>
      </c>
      <c r="B10138">
        <f t="shared" si="29"/>
        <v>11.0296944757124</v>
      </c>
      <c r="C10138">
        <f t="shared" si="30"/>
        <v>32.2299754009375</v>
      </c>
      <c r="F10138" s="12">
        <f t="shared" si="31"/>
        <v>100.5</v>
      </c>
      <c r="G10138" s="12">
        <f t="shared" si="33"/>
        <v>21.5899700676427</v>
      </c>
      <c r="H10138" s="12">
        <f t="shared" si="34"/>
        <v>24.2123235420189</v>
      </c>
      <c r="I10138" s="12">
        <f t="shared" si="32"/>
        <v>100.5</v>
      </c>
      <c r="J10138" s="12">
        <f t="shared" si="23"/>
        <v>21.5899700676427</v>
      </c>
      <c r="K10138" s="12">
        <f t="shared" si="24"/>
        <v>24.2123235420189</v>
      </c>
    </row>
    <row r="10139" spans="1:11">
      <c r="A10139">
        <f t="shared" si="26"/>
        <v>138</v>
      </c>
      <c r="B10139">
        <f t="shared" si="29"/>
        <v>10.8528276178391</v>
      </c>
      <c r="C10139">
        <f t="shared" si="30"/>
        <v>32.0369590953829</v>
      </c>
      <c r="F10139" s="12">
        <f t="shared" si="31"/>
        <v>101.25</v>
      </c>
      <c r="G10139" s="12">
        <f t="shared" si="33"/>
        <v>21.5610467754637</v>
      </c>
      <c r="H10139" s="12">
        <f t="shared" si="34"/>
        <v>24.2067668809073</v>
      </c>
      <c r="I10139" s="12">
        <f t="shared" si="32"/>
        <v>101.25</v>
      </c>
      <c r="J10139" s="12">
        <f t="shared" si="23"/>
        <v>21.5610467754637</v>
      </c>
      <c r="K10139" s="12">
        <f t="shared" si="24"/>
        <v>24.2067668809073</v>
      </c>
    </row>
    <row r="10140" spans="1:11">
      <c r="A10140">
        <f t="shared" si="26"/>
        <v>139</v>
      </c>
      <c r="B10140">
        <f t="shared" si="29"/>
        <v>10.6793562966584</v>
      </c>
      <c r="C10140">
        <f t="shared" si="30"/>
        <v>31.8408854348576</v>
      </c>
      <c r="F10140" s="12">
        <f t="shared" si="31"/>
        <v>102</v>
      </c>
      <c r="G10140" s="12">
        <f t="shared" si="33"/>
        <v>21.53219869566</v>
      </c>
      <c r="H10140" s="12">
        <f t="shared" si="34"/>
        <v>24.2008321016511</v>
      </c>
      <c r="I10140" s="12">
        <f t="shared" si="32"/>
        <v>102</v>
      </c>
      <c r="J10140" s="12">
        <f t="shared" si="23"/>
        <v>21.53219869566</v>
      </c>
      <c r="K10140" s="12">
        <f t="shared" si="24"/>
        <v>24.2008321016511</v>
      </c>
    </row>
    <row r="10141" spans="1:11">
      <c r="A10141">
        <f t="shared" si="26"/>
        <v>140</v>
      </c>
      <c r="B10141">
        <f t="shared" si="29"/>
        <v>10.5093333532153</v>
      </c>
      <c r="C10141">
        <f t="shared" si="30"/>
        <v>31.6418141452981</v>
      </c>
      <c r="F10141" s="12">
        <f t="shared" si="31"/>
        <v>102.75</v>
      </c>
      <c r="G10141" s="12">
        <f t="shared" si="33"/>
        <v>21.5034307712016</v>
      </c>
      <c r="H10141" s="12">
        <f t="shared" si="34"/>
        <v>24.1945202211442</v>
      </c>
      <c r="I10141" s="12">
        <f t="shared" si="32"/>
        <v>102.75</v>
      </c>
      <c r="J10141" s="12">
        <f t="shared" si="23"/>
        <v>21.5034307712016</v>
      </c>
      <c r="K10141" s="12">
        <f t="shared" si="24"/>
        <v>24.1945202211442</v>
      </c>
    </row>
    <row r="10142" spans="1:11">
      <c r="A10142">
        <f t="shared" si="26"/>
        <v>141</v>
      </c>
      <c r="B10142">
        <f t="shared" si="29"/>
        <v>10.3428105781454</v>
      </c>
      <c r="C10142">
        <f t="shared" si="30"/>
        <v>31.4398058657476</v>
      </c>
      <c r="F10142" s="12">
        <f t="shared" si="31"/>
        <v>103.5</v>
      </c>
      <c r="G10142" s="12">
        <f t="shared" si="33"/>
        <v>21.4747479313242</v>
      </c>
      <c r="H10142" s="12">
        <f t="shared" si="34"/>
        <v>24.1878323208948</v>
      </c>
      <c r="I10142" s="12">
        <f t="shared" si="32"/>
        <v>103.5</v>
      </c>
      <c r="J10142" s="12">
        <f t="shared" ref="J10142:J10204" si="35">COS(I10142/180*PI())*$E$10001*$R$10023+$E$10002</f>
        <v>21.4747479313242</v>
      </c>
      <c r="K10142" s="12">
        <f t="shared" ref="K10142:K10204" si="36">SIN(I10142/180*PI())*$E$10001*$R$10023+$E$10003</f>
        <v>24.1878323208948</v>
      </c>
    </row>
    <row r="10143" spans="1:11">
      <c r="A10143">
        <f t="shared" si="26"/>
        <v>142</v>
      </c>
      <c r="B10143">
        <f t="shared" si="29"/>
        <v>10.1798386958992</v>
      </c>
      <c r="C10143">
        <f t="shared" si="30"/>
        <v>31.2349221298849</v>
      </c>
      <c r="F10143" s="12">
        <f t="shared" si="31"/>
        <v>104.25</v>
      </c>
      <c r="G10143" s="12">
        <f t="shared" si="33"/>
        <v>21.4461550906848</v>
      </c>
      <c r="H10143" s="12">
        <f t="shared" si="34"/>
        <v>24.1807695468402</v>
      </c>
      <c r="I10143" s="12">
        <f t="shared" si="32"/>
        <v>104.25</v>
      </c>
      <c r="J10143" s="12">
        <f t="shared" si="35"/>
        <v>21.4461550906848</v>
      </c>
      <c r="K10143" s="12">
        <f t="shared" si="36"/>
        <v>24.1807695468402</v>
      </c>
    </row>
    <row r="10144" spans="1:11">
      <c r="A10144">
        <f t="shared" si="26"/>
        <v>143</v>
      </c>
      <c r="B10144">
        <f t="shared" si="29"/>
        <v>10.0204673492906</v>
      </c>
      <c r="C10144">
        <f t="shared" si="30"/>
        <v>31.0272253472807</v>
      </c>
      <c r="F10144" s="12">
        <f t="shared" si="31"/>
        <v>105</v>
      </c>
      <c r="G10144" s="12">
        <f t="shared" si="33"/>
        <v>21.4176571485193</v>
      </c>
      <c r="H10144" s="12">
        <f t="shared" si="34"/>
        <v>24.1733331091504</v>
      </c>
      <c r="I10144" s="12">
        <f t="shared" si="32"/>
        <v>105</v>
      </c>
      <c r="J10144" s="12">
        <f t="shared" si="35"/>
        <v>21.4176571485193</v>
      </c>
      <c r="K10144" s="12">
        <f t="shared" si="36"/>
        <v>24.1733331091504</v>
      </c>
    </row>
    <row r="10145" spans="1:11">
      <c r="A10145">
        <f t="shared" si="26"/>
        <v>144</v>
      </c>
      <c r="B10145">
        <f t="shared" si="29"/>
        <v>9.86474508437579</v>
      </c>
      <c r="C10145">
        <f t="shared" si="30"/>
        <v>30.8167787843871</v>
      </c>
      <c r="F10145" s="12">
        <f t="shared" si="31"/>
        <v>105.75</v>
      </c>
      <c r="G10145" s="12">
        <f t="shared" si="33"/>
        <v>21.3892589878036</v>
      </c>
      <c r="H10145" s="12">
        <f t="shared" si="34"/>
        <v>24.1655242820207</v>
      </c>
      <c r="I10145" s="12">
        <f t="shared" si="32"/>
        <v>105.75</v>
      </c>
      <c r="J10145" s="12">
        <f t="shared" si="35"/>
        <v>21.3892589878036</v>
      </c>
      <c r="K10145" s="12">
        <f t="shared" si="36"/>
        <v>24.1655242820207</v>
      </c>
    </row>
    <row r="10146" spans="1:11">
      <c r="A10146">
        <f t="shared" si="26"/>
        <v>145</v>
      </c>
      <c r="B10146">
        <f t="shared" si="29"/>
        <v>9.71271933566512</v>
      </c>
      <c r="C10146">
        <f t="shared" si="30"/>
        <v>30.6036465452657</v>
      </c>
      <c r="F10146" s="12">
        <f t="shared" si="31"/>
        <v>106.5</v>
      </c>
      <c r="G10146" s="12">
        <f t="shared" si="33"/>
        <v>21.3609654744162</v>
      </c>
      <c r="H10146" s="12">
        <f t="shared" si="34"/>
        <v>24.1573444034534</v>
      </c>
      <c r="I10146" s="12">
        <f t="shared" si="32"/>
        <v>106.5</v>
      </c>
      <c r="J10146" s="12">
        <f t="shared" si="35"/>
        <v>21.3609654744162</v>
      </c>
      <c r="K10146" s="12">
        <f t="shared" si="36"/>
        <v>24.1573444034534</v>
      </c>
    </row>
    <row r="10147" spans="1:11">
      <c r="A10147">
        <f t="shared" si="26"/>
        <v>146</v>
      </c>
      <c r="B10147">
        <f t="shared" si="29"/>
        <v>9.56443641167438</v>
      </c>
      <c r="C10147">
        <f t="shared" si="30"/>
        <v>30.3878935520612</v>
      </c>
      <c r="F10147" s="12">
        <f t="shared" si="31"/>
        <v>107.25</v>
      </c>
      <c r="G10147" s="12">
        <f t="shared" si="33"/>
        <v>21.332781456305</v>
      </c>
      <c r="H10147" s="12">
        <f t="shared" si="34"/>
        <v>24.1487948750287</v>
      </c>
      <c r="I10147" s="12">
        <f t="shared" si="32"/>
        <v>107.25</v>
      </c>
      <c r="J10147" s="12">
        <f t="shared" si="35"/>
        <v>21.332781456305</v>
      </c>
      <c r="K10147" s="12">
        <f t="shared" si="36"/>
        <v>24.1487948750287</v>
      </c>
    </row>
    <row r="10148" spans="1:11">
      <c r="A10148">
        <f t="shared" si="26"/>
        <v>147</v>
      </c>
      <c r="B10148">
        <f t="shared" si="29"/>
        <v>9.41994148081864</v>
      </c>
      <c r="C10148">
        <f t="shared" si="30"/>
        <v>30.1695855252254</v>
      </c>
      <c r="F10148" s="12">
        <f t="shared" si="31"/>
        <v>108</v>
      </c>
      <c r="G10148" s="12">
        <f t="shared" si="33"/>
        <v>21.3047117626564</v>
      </c>
      <c r="H10148" s="12">
        <f t="shared" si="34"/>
        <v>24.1398771616641</v>
      </c>
      <c r="I10148" s="12">
        <f t="shared" si="32"/>
        <v>108</v>
      </c>
      <c r="J10148" s="12">
        <f t="shared" si="35"/>
        <v>21.3047117626564</v>
      </c>
      <c r="K10148" s="12">
        <f t="shared" si="36"/>
        <v>24.1398771616641</v>
      </c>
    </row>
    <row r="10149" spans="1:11">
      <c r="A10149">
        <f t="shared" si="26"/>
        <v>148</v>
      </c>
      <c r="B10149">
        <f t="shared" si="29"/>
        <v>9.27927855765361</v>
      </c>
      <c r="C10149">
        <f t="shared" si="30"/>
        <v>29.9487889634981</v>
      </c>
      <c r="F10149" s="12">
        <f t="shared" si="31"/>
        <v>108.75</v>
      </c>
      <c r="G10149" s="12">
        <f t="shared" si="33"/>
        <v>21.2767612030679</v>
      </c>
      <c r="H10149" s="12">
        <f t="shared" si="34"/>
        <v>24.130592791364</v>
      </c>
      <c r="I10149" s="12">
        <f t="shared" si="32"/>
        <v>108.75</v>
      </c>
      <c r="J10149" s="12">
        <f t="shared" si="35"/>
        <v>21.2767612030679</v>
      </c>
      <c r="K10149" s="12">
        <f t="shared" si="36"/>
        <v>24.130592791364</v>
      </c>
    </row>
    <row r="10150" spans="1:11">
      <c r="A10150">
        <f t="shared" si="26"/>
        <v>149</v>
      </c>
      <c r="B10150">
        <f t="shared" si="29"/>
        <v>9.14249048946832</v>
      </c>
      <c r="C10150">
        <f t="shared" si="30"/>
        <v>29.7255711236508</v>
      </c>
      <c r="F10150" s="12">
        <f t="shared" si="31"/>
        <v>109.5</v>
      </c>
      <c r="G10150" s="12">
        <f t="shared" si="33"/>
        <v>21.248934566724</v>
      </c>
      <c r="H10150" s="12">
        <f t="shared" si="34"/>
        <v>24.1209433549574</v>
      </c>
      <c r="I10150" s="12">
        <f t="shared" si="32"/>
        <v>109.5</v>
      </c>
      <c r="J10150" s="12">
        <f t="shared" si="35"/>
        <v>21.248934566724</v>
      </c>
      <c r="K10150" s="12">
        <f t="shared" si="36"/>
        <v>24.1209433549574</v>
      </c>
    </row>
    <row r="10151" spans="1:11">
      <c r="A10151">
        <f t="shared" ref="A10151:A10214" si="37">A10150+1</f>
        <v>150</v>
      </c>
      <c r="B10151">
        <f t="shared" si="29"/>
        <v>9.00961894323342</v>
      </c>
      <c r="C10151">
        <f t="shared" si="30"/>
        <v>29.5</v>
      </c>
      <c r="F10151" s="12">
        <f t="shared" si="31"/>
        <v>110.25</v>
      </c>
      <c r="G10151" s="12">
        <f t="shared" si="33"/>
        <v>21.2212366215756</v>
      </c>
      <c r="H10151" s="12">
        <f t="shared" si="34"/>
        <v>24.1109305058256</v>
      </c>
      <c r="I10151" s="12">
        <f t="shared" si="32"/>
        <v>110.25</v>
      </c>
      <c r="J10151" s="12">
        <f t="shared" si="35"/>
        <v>21.2212366215756</v>
      </c>
      <c r="K10151" s="12">
        <f t="shared" si="36"/>
        <v>24.1109305058256</v>
      </c>
    </row>
    <row r="10152" spans="1:11">
      <c r="A10152">
        <f t="shared" si="37"/>
        <v>151</v>
      </c>
      <c r="B10152">
        <f t="shared" si="29"/>
        <v>8.88070439290906</v>
      </c>
      <c r="C10152">
        <f t="shared" si="30"/>
        <v>29.2721443036951</v>
      </c>
      <c r="F10152" s="12">
        <f t="shared" si="31"/>
        <v>111</v>
      </c>
      <c r="G10152" s="12">
        <f t="shared" si="33"/>
        <v>21.1936721135231</v>
      </c>
      <c r="H10152" s="12">
        <f t="shared" si="34"/>
        <v>24.1005559596187</v>
      </c>
      <c r="I10152" s="12">
        <f t="shared" si="32"/>
        <v>111</v>
      </c>
      <c r="J10152" s="12">
        <f t="shared" si="35"/>
        <v>21.1936721135231</v>
      </c>
      <c r="K10152" s="12">
        <f t="shared" si="36"/>
        <v>24.1005559596187</v>
      </c>
    </row>
    <row r="10153" spans="1:11">
      <c r="A10153">
        <f t="shared" si="37"/>
        <v>152</v>
      </c>
      <c r="B10153">
        <f t="shared" si="29"/>
        <v>8.75578610711609</v>
      </c>
      <c r="C10153">
        <f t="shared" si="30"/>
        <v>29.0420734417884</v>
      </c>
      <c r="F10153" s="12">
        <f t="shared" si="31"/>
        <v>111.75</v>
      </c>
      <c r="G10153" s="12">
        <f t="shared" si="33"/>
        <v>21.1662457656029</v>
      </c>
      <c r="H10153" s="12">
        <f t="shared" si="34"/>
        <v>24.0898214939618</v>
      </c>
      <c r="I10153" s="12">
        <f t="shared" si="32"/>
        <v>111.75</v>
      </c>
      <c r="J10153" s="12">
        <f t="shared" si="35"/>
        <v>21.1662457656029</v>
      </c>
      <c r="K10153" s="12">
        <f t="shared" si="36"/>
        <v>24.0898214939618</v>
      </c>
    </row>
    <row r="10154" spans="1:11">
      <c r="A10154">
        <f t="shared" si="37"/>
        <v>153</v>
      </c>
      <c r="B10154">
        <f t="shared" si="29"/>
        <v>8.63490213717448</v>
      </c>
      <c r="C10154">
        <f t="shared" si="30"/>
        <v>28.8098574960932</v>
      </c>
      <c r="F10154" s="12">
        <f t="shared" si="31"/>
        <v>112.5</v>
      </c>
      <c r="G10154" s="12">
        <f t="shared" si="33"/>
        <v>21.1389622771785</v>
      </c>
      <c r="H10154" s="12">
        <f t="shared" si="34"/>
        <v>24.0787289481504</v>
      </c>
      <c r="I10154" s="12">
        <f t="shared" si="32"/>
        <v>112.5</v>
      </c>
      <c r="J10154" s="12">
        <f t="shared" si="35"/>
        <v>21.1389622771785</v>
      </c>
      <c r="K10154" s="12">
        <f t="shared" si="36"/>
        <v>24.0787289481504</v>
      </c>
    </row>
    <row r="10155" spans="1:11">
      <c r="A10155">
        <f t="shared" si="37"/>
        <v>154</v>
      </c>
      <c r="B10155">
        <f t="shared" si="29"/>
        <v>8.5180893055125</v>
      </c>
      <c r="C10155">
        <f t="shared" si="30"/>
        <v>28.5755672018362</v>
      </c>
      <c r="F10155" s="12">
        <f t="shared" si="31"/>
        <v>113.25</v>
      </c>
      <c r="G10155" s="12">
        <f t="shared" si="33"/>
        <v>21.1118263231354</v>
      </c>
      <c r="H10155" s="12">
        <f t="shared" si="34"/>
        <v>24.067280222835</v>
      </c>
      <c r="I10155" s="12">
        <f t="shared" si="32"/>
        <v>113.25</v>
      </c>
      <c r="J10155" s="12">
        <f t="shared" si="35"/>
        <v>21.1118263231354</v>
      </c>
      <c r="K10155" s="12">
        <f t="shared" si="36"/>
        <v>24.067280222835</v>
      </c>
    </row>
    <row r="10156" spans="1:11">
      <c r="A10156">
        <f t="shared" si="37"/>
        <v>155</v>
      </c>
      <c r="B10156">
        <f t="shared" si="29"/>
        <v>8.40538319445025</v>
      </c>
      <c r="C10156">
        <f t="shared" si="30"/>
        <v>28.3392739261105</v>
      </c>
      <c r="F10156" s="12">
        <f t="shared" si="31"/>
        <v>114</v>
      </c>
      <c r="G10156" s="12">
        <f t="shared" si="33"/>
        <v>21.0848425530795</v>
      </c>
      <c r="H10156" s="12">
        <f t="shared" si="34"/>
        <v>24.0554772796959</v>
      </c>
      <c r="I10156" s="12">
        <f t="shared" si="32"/>
        <v>114</v>
      </c>
      <c r="J10156" s="12">
        <f t="shared" si="35"/>
        <v>21.0848425530795</v>
      </c>
      <c r="K10156" s="12">
        <f t="shared" si="36"/>
        <v>24.0554772796959</v>
      </c>
    </row>
    <row r="10157" spans="1:11">
      <c r="A10157">
        <f t="shared" si="37"/>
        <v>156</v>
      </c>
      <c r="B10157">
        <f t="shared" si="29"/>
        <v>8.29681813536098</v>
      </c>
      <c r="C10157">
        <f t="shared" si="30"/>
        <v>28.101049646137</v>
      </c>
      <c r="F10157" s="12">
        <f t="shared" si="31"/>
        <v>114.75</v>
      </c>
      <c r="G10157" s="12">
        <f t="shared" si="33"/>
        <v>21.0580155905408</v>
      </c>
      <c r="H10157" s="12">
        <f t="shared" si="34"/>
        <v>24.0433221411064</v>
      </c>
      <c r="I10157" s="12">
        <f t="shared" si="32"/>
        <v>114.75</v>
      </c>
      <c r="J10157" s="12">
        <f t="shared" si="35"/>
        <v>21.0580155905408</v>
      </c>
      <c r="K10157" s="12">
        <f t="shared" si="36"/>
        <v>24.0433221411064</v>
      </c>
    </row>
    <row r="10158" spans="1:11">
      <c r="A10158">
        <f t="shared" si="37"/>
        <v>157</v>
      </c>
      <c r="B10158">
        <f t="shared" si="29"/>
        <v>8.19242719821339</v>
      </c>
      <c r="C10158">
        <f t="shared" si="30"/>
        <v>27.8609669273391</v>
      </c>
      <c r="F10158" s="12">
        <f t="shared" si="31"/>
        <v>115.5</v>
      </c>
      <c r="G10158" s="12">
        <f t="shared" si="33"/>
        <v>21.0313500321813</v>
      </c>
      <c r="H10158" s="12">
        <f t="shared" si="34"/>
        <v>24.0308168897872</v>
      </c>
      <c r="I10158" s="12">
        <f t="shared" si="32"/>
        <v>115.5</v>
      </c>
      <c r="J10158" s="12">
        <f t="shared" si="35"/>
        <v>21.0313500321813</v>
      </c>
      <c r="K10158" s="12">
        <f t="shared" si="36"/>
        <v>24.0308168897872</v>
      </c>
    </row>
    <row r="10159" spans="1:11">
      <c r="A10159">
        <f t="shared" si="37"/>
        <v>158</v>
      </c>
      <c r="B10159">
        <f t="shared" si="29"/>
        <v>8.09224218149819</v>
      </c>
      <c r="C10159">
        <f t="shared" si="30"/>
        <v>27.6190989012387</v>
      </c>
      <c r="F10159" s="12">
        <f t="shared" si="31"/>
        <v>116.25</v>
      </c>
      <c r="G10159" s="12">
        <f t="shared" si="33"/>
        <v>21.0048504470072</v>
      </c>
      <c r="H10159" s="12">
        <f t="shared" si="34"/>
        <v>24.0179636684485</v>
      </c>
      <c r="I10159" s="12">
        <f t="shared" si="32"/>
        <v>116.25</v>
      </c>
      <c r="J10159" s="12">
        <f t="shared" si="35"/>
        <v>21.0048504470072</v>
      </c>
      <c r="K10159" s="12">
        <f t="shared" si="36"/>
        <v>24.0179636684485</v>
      </c>
    </row>
    <row r="10160" spans="1:11">
      <c r="A10160">
        <f t="shared" si="37"/>
        <v>159</v>
      </c>
      <c r="B10160">
        <f t="shared" si="29"/>
        <v>7.99629360254198</v>
      </c>
      <c r="C10160">
        <f t="shared" si="30"/>
        <v>27.3755192431795</v>
      </c>
      <c r="F10160" s="12">
        <f t="shared" si="31"/>
        <v>117</v>
      </c>
      <c r="G10160" s="12">
        <f t="shared" si="33"/>
        <v>20.978521375586</v>
      </c>
      <c r="H10160" s="12">
        <f t="shared" si="34"/>
        <v>24.0047646794238</v>
      </c>
      <c r="I10160" s="12">
        <f t="shared" si="32"/>
        <v>117</v>
      </c>
      <c r="J10160" s="12">
        <f t="shared" si="35"/>
        <v>20.978521375586</v>
      </c>
      <c r="K10160" s="12">
        <f t="shared" si="36"/>
        <v>24.0047646794238</v>
      </c>
    </row>
    <row r="10161" spans="1:11">
      <c r="A10161">
        <f t="shared" si="37"/>
        <v>160</v>
      </c>
      <c r="B10161">
        <f t="shared" si="29"/>
        <v>7.90461068821138</v>
      </c>
      <c r="C10161">
        <f t="shared" si="30"/>
        <v>27.130302149885</v>
      </c>
      <c r="F10161" s="12">
        <f t="shared" si="31"/>
        <v>117.75</v>
      </c>
      <c r="G10161" s="12">
        <f t="shared" si="33"/>
        <v>20.9523673292685</v>
      </c>
      <c r="H10161" s="12">
        <f t="shared" si="34"/>
        <v>23.9912221842918</v>
      </c>
      <c r="I10161" s="12">
        <f t="shared" si="32"/>
        <v>117.75</v>
      </c>
      <c r="J10161" s="12">
        <f t="shared" si="35"/>
        <v>20.9523673292685</v>
      </c>
      <c r="K10161" s="12">
        <f t="shared" si="36"/>
        <v>23.9912221842918</v>
      </c>
    </row>
    <row r="10162" spans="1:11">
      <c r="A10162">
        <f t="shared" si="37"/>
        <v>161</v>
      </c>
      <c r="B10162">
        <f t="shared" si="29"/>
        <v>7.81722136601025</v>
      </c>
      <c r="C10162">
        <f t="shared" si="30"/>
        <v>26.8835223168573</v>
      </c>
      <c r="F10162" s="12">
        <f t="shared" si="31"/>
        <v>118.5</v>
      </c>
      <c r="G10162" s="12">
        <f t="shared" si="33"/>
        <v>20.9263927894159</v>
      </c>
      <c r="H10162" s="12">
        <f t="shared" si="34"/>
        <v>23.9773385034894</v>
      </c>
      <c r="I10162" s="12">
        <f t="shared" si="32"/>
        <v>118.5</v>
      </c>
      <c r="J10162" s="12">
        <f t="shared" si="35"/>
        <v>20.9263927894159</v>
      </c>
      <c r="K10162" s="12">
        <f t="shared" si="36"/>
        <v>23.9773385034894</v>
      </c>
    </row>
    <row r="10163" spans="1:11">
      <c r="A10163">
        <f t="shared" si="37"/>
        <v>162</v>
      </c>
      <c r="B10163">
        <f t="shared" si="29"/>
        <v>7.7341522555727</v>
      </c>
      <c r="C10163">
        <f t="shared" si="30"/>
        <v>26.6352549156242</v>
      </c>
      <c r="F10163" s="12">
        <f t="shared" si="31"/>
        <v>119.25</v>
      </c>
      <c r="G10163" s="12">
        <f t="shared" si="33"/>
        <v>20.9006022066319</v>
      </c>
      <c r="H10163" s="12">
        <f t="shared" si="34"/>
        <v>23.9631160159138</v>
      </c>
      <c r="I10163" s="12">
        <f t="shared" si="32"/>
        <v>119.25</v>
      </c>
      <c r="J10163" s="12">
        <f t="shared" si="35"/>
        <v>20.9006022066319</v>
      </c>
      <c r="K10163" s="12">
        <f t="shared" si="36"/>
        <v>23.9631160159138</v>
      </c>
    </row>
    <row r="10164" spans="1:11">
      <c r="A10164">
        <f t="shared" si="37"/>
        <v>163</v>
      </c>
      <c r="B10164">
        <f t="shared" si="29"/>
        <v>7.65542866055447</v>
      </c>
      <c r="C10164">
        <f t="shared" si="30"/>
        <v>26.3855755708411</v>
      </c>
      <c r="F10164" s="12">
        <f t="shared" si="31"/>
        <v>120</v>
      </c>
      <c r="G10164" s="12">
        <f t="shared" si="33"/>
        <v>20.875</v>
      </c>
      <c r="H10164" s="12">
        <f t="shared" si="34"/>
        <v>23.948557158515</v>
      </c>
      <c r="I10164" s="12">
        <f t="shared" si="32"/>
        <v>120</v>
      </c>
      <c r="J10164" s="12">
        <f t="shared" si="35"/>
        <v>20.875</v>
      </c>
      <c r="K10164" s="12">
        <f t="shared" si="36"/>
        <v>23.948557158515</v>
      </c>
    </row>
    <row r="10165" spans="1:11">
      <c r="A10165">
        <f t="shared" si="37"/>
        <v>164</v>
      </c>
      <c r="B10165">
        <f t="shared" si="29"/>
        <v>7.58107456092522</v>
      </c>
      <c r="C10165">
        <f t="shared" si="30"/>
        <v>26.134560337255</v>
      </c>
      <c r="F10165" s="12">
        <f t="shared" ref="F10165:F10196" si="38">MOD(F10164-$E$10006*$H$10002,360)</f>
        <v>120.75</v>
      </c>
      <c r="G10165" s="12">
        <f t="shared" si="33"/>
        <v>20.8495905563266</v>
      </c>
      <c r="H10165" s="12">
        <f t="shared" si="34"/>
        <v>23.9336644258783</v>
      </c>
      <c r="I10165" s="12">
        <f t="shared" ref="I10165:I10196" si="39">MOD(I10164-$E$10006*$K$10002,360)</f>
        <v>120.75</v>
      </c>
      <c r="J10165" s="12">
        <f t="shared" si="35"/>
        <v>20.8495905563266</v>
      </c>
      <c r="K10165" s="12">
        <f t="shared" si="36"/>
        <v>23.9336644258783</v>
      </c>
    </row>
    <row r="10166" spans="1:11">
      <c r="A10166">
        <f t="shared" si="37"/>
        <v>165</v>
      </c>
      <c r="B10166">
        <f t="shared" si="29"/>
        <v>7.51111260566398</v>
      </c>
      <c r="C10166">
        <f t="shared" si="30"/>
        <v>25.8822856765378</v>
      </c>
      <c r="F10166" s="12">
        <f t="shared" si="38"/>
        <v>121.5</v>
      </c>
      <c r="G10166" s="12">
        <f t="shared" si="33"/>
        <v>20.8243782293891</v>
      </c>
      <c r="H10166" s="12">
        <f t="shared" si="34"/>
        <v>23.9184403697967</v>
      </c>
      <c r="I10166" s="12">
        <f t="shared" si="39"/>
        <v>121.5</v>
      </c>
      <c r="J10166" s="12">
        <f t="shared" si="35"/>
        <v>20.8243782293891</v>
      </c>
      <c r="K10166" s="12">
        <f t="shared" si="36"/>
        <v>23.9184403697967</v>
      </c>
    </row>
    <row r="10167" spans="1:11">
      <c r="A10167">
        <f t="shared" si="37"/>
        <v>166</v>
      </c>
      <c r="B10167">
        <f t="shared" si="29"/>
        <v>7.44556410586005</v>
      </c>
      <c r="C10167">
        <f t="shared" si="30"/>
        <v>25.628828433995</v>
      </c>
      <c r="F10167" s="12">
        <f t="shared" si="38"/>
        <v>122.25</v>
      </c>
      <c r="G10167" s="12">
        <f t="shared" si="33"/>
        <v>20.7993673391899</v>
      </c>
      <c r="H10167" s="12">
        <f t="shared" si="34"/>
        <v>23.9028875988339</v>
      </c>
      <c r="I10167" s="12">
        <f t="shared" si="39"/>
        <v>122.25</v>
      </c>
      <c r="J10167" s="12">
        <f t="shared" si="35"/>
        <v>20.7993673391899</v>
      </c>
      <c r="K10167" s="12">
        <f t="shared" si="36"/>
        <v>23.9028875988339</v>
      </c>
    </row>
    <row r="10168" spans="1:11">
      <c r="A10168">
        <f t="shared" si="37"/>
        <v>167</v>
      </c>
      <c r="B10168">
        <f t="shared" si="29"/>
        <v>7.38444902822147</v>
      </c>
      <c r="C10168">
        <f t="shared" si="30"/>
        <v>25.374265815158</v>
      </c>
      <c r="F10168" s="12">
        <f t="shared" si="38"/>
        <v>123</v>
      </c>
      <c r="G10168" s="12">
        <f t="shared" si="33"/>
        <v>20.7745621712162</v>
      </c>
      <c r="H10168" s="12">
        <f t="shared" si="34"/>
        <v>23.8870087778772</v>
      </c>
      <c r="I10168" s="12">
        <f t="shared" si="39"/>
        <v>123</v>
      </c>
      <c r="J10168" s="12">
        <f t="shared" si="35"/>
        <v>20.7745621712162</v>
      </c>
      <c r="K10168" s="12">
        <f t="shared" si="36"/>
        <v>23.8870087778772</v>
      </c>
    </row>
    <row r="10169" spans="1:11">
      <c r="A10169">
        <f t="shared" si="37"/>
        <v>168</v>
      </c>
      <c r="B10169">
        <f t="shared" si="29"/>
        <v>7.32778598899291</v>
      </c>
      <c r="C10169">
        <f t="shared" si="30"/>
        <v>25.1186753622664</v>
      </c>
      <c r="F10169" s="12">
        <f t="shared" si="38"/>
        <v>123.75</v>
      </c>
      <c r="G10169" s="12">
        <f t="shared" si="33"/>
        <v>20.7499669757059</v>
      </c>
      <c r="H10169" s="12">
        <f t="shared" si="34"/>
        <v>23.8708066276807</v>
      </c>
      <c r="I10169" s="12">
        <f t="shared" si="39"/>
        <v>123.75</v>
      </c>
      <c r="J10169" s="12">
        <f t="shared" si="35"/>
        <v>20.7499669757059</v>
      </c>
      <c r="K10169" s="12">
        <f t="shared" si="36"/>
        <v>23.8708066276807</v>
      </c>
    </row>
    <row r="10170" spans="1:11">
      <c r="A10170">
        <f t="shared" si="37"/>
        <v>169</v>
      </c>
      <c r="B10170">
        <f t="shared" si="29"/>
        <v>7.27559224828504</v>
      </c>
      <c r="C10170">
        <f t="shared" si="30"/>
        <v>24.8621349306482</v>
      </c>
      <c r="F10170" s="12">
        <f t="shared" si="38"/>
        <v>124.5</v>
      </c>
      <c r="G10170" s="12">
        <f t="shared" si="33"/>
        <v>20.7255859669191</v>
      </c>
      <c r="H10170" s="12">
        <f t="shared" si="34"/>
        <v>23.8542839243995</v>
      </c>
      <c r="I10170" s="12">
        <f t="shared" si="39"/>
        <v>124.5</v>
      </c>
      <c r="J10170" s="12">
        <f t="shared" si="35"/>
        <v>20.7255859669191</v>
      </c>
      <c r="K10170" s="12">
        <f t="shared" si="36"/>
        <v>23.8542839243995</v>
      </c>
    </row>
    <row r="10171" spans="1:11">
      <c r="A10171">
        <f t="shared" si="37"/>
        <v>170</v>
      </c>
      <c r="B10171">
        <f t="shared" si="29"/>
        <v>7.22788370481688</v>
      </c>
      <c r="C10171">
        <f t="shared" si="30"/>
        <v>24.604722665004</v>
      </c>
      <c r="F10171" s="12">
        <f t="shared" si="38"/>
        <v>125.25</v>
      </c>
      <c r="G10171" s="12">
        <f t="shared" si="33"/>
        <v>20.7014233224162</v>
      </c>
      <c r="H10171" s="12">
        <f t="shared" si="34"/>
        <v>23.8374434991138</v>
      </c>
      <c r="I10171" s="12">
        <f t="shared" si="39"/>
        <v>125.25</v>
      </c>
      <c r="J10171" s="12">
        <f t="shared" si="35"/>
        <v>20.7014233224162</v>
      </c>
      <c r="K10171" s="12">
        <f t="shared" si="36"/>
        <v>23.8374434991138</v>
      </c>
    </row>
    <row r="10172" spans="1:11">
      <c r="A10172">
        <f t="shared" si="37"/>
        <v>171</v>
      </c>
      <c r="B10172">
        <f t="shared" si="29"/>
        <v>7.18467489107294</v>
      </c>
      <c r="C10172">
        <f t="shared" si="30"/>
        <v>24.3465169756035</v>
      </c>
      <c r="F10172" s="12">
        <f t="shared" si="38"/>
        <v>126</v>
      </c>
      <c r="G10172" s="12">
        <f t="shared" si="33"/>
        <v>20.6774831823419</v>
      </c>
      <c r="H10172" s="12">
        <f t="shared" si="34"/>
        <v>23.8202882373436</v>
      </c>
      <c r="I10172" s="12">
        <f t="shared" si="39"/>
        <v>126</v>
      </c>
      <c r="J10172" s="12">
        <f t="shared" si="35"/>
        <v>20.6774831823419</v>
      </c>
      <c r="K10172" s="12">
        <f t="shared" si="36"/>
        <v>23.8202882373436</v>
      </c>
    </row>
    <row r="10173" spans="1:11">
      <c r="A10173">
        <f t="shared" si="37"/>
        <v>172</v>
      </c>
      <c r="B10173">
        <f t="shared" si="29"/>
        <v>7.14597896887645</v>
      </c>
      <c r="C10173">
        <f t="shared" si="30"/>
        <v>24.087596514401</v>
      </c>
      <c r="F10173" s="12">
        <f t="shared" si="38"/>
        <v>126.75</v>
      </c>
      <c r="G10173" s="12">
        <f t="shared" si="33"/>
        <v>20.653769648716</v>
      </c>
      <c r="H10173" s="12">
        <f t="shared" si="34"/>
        <v>23.8028210785549</v>
      </c>
      <c r="I10173" s="12">
        <f t="shared" si="39"/>
        <v>126.75</v>
      </c>
      <c r="J10173" s="12">
        <f t="shared" si="35"/>
        <v>20.653769648716</v>
      </c>
      <c r="K10173" s="12">
        <f t="shared" si="36"/>
        <v>23.8028210785549</v>
      </c>
    </row>
    <row r="10174" spans="1:11">
      <c r="A10174">
        <f t="shared" si="37"/>
        <v>173</v>
      </c>
      <c r="B10174">
        <f t="shared" si="29"/>
        <v>7.11180772538017</v>
      </c>
      <c r="C10174">
        <f t="shared" si="30"/>
        <v>23.8280401510772</v>
      </c>
      <c r="F10174" s="12">
        <f t="shared" si="38"/>
        <v>127.5</v>
      </c>
      <c r="G10174" s="12">
        <f t="shared" si="33"/>
        <v>20.6302867847304</v>
      </c>
      <c r="H10174" s="12">
        <f t="shared" si="34"/>
        <v>23.7850450156553</v>
      </c>
      <c r="I10174" s="12">
        <f t="shared" si="39"/>
        <v>127.5</v>
      </c>
      <c r="J10174" s="12">
        <f t="shared" si="35"/>
        <v>20.6302867847304</v>
      </c>
      <c r="K10174" s="12">
        <f t="shared" si="36"/>
        <v>23.7850450156553</v>
      </c>
    </row>
    <row r="10175" spans="1:11">
      <c r="A10175">
        <f t="shared" si="37"/>
        <v>174</v>
      </c>
      <c r="B10175">
        <f t="shared" si="29"/>
        <v>7.0821715694759</v>
      </c>
      <c r="C10175">
        <f t="shared" si="30"/>
        <v>23.5679269490148</v>
      </c>
      <c r="F10175" s="12">
        <f t="shared" si="38"/>
        <v>128.25</v>
      </c>
      <c r="G10175" s="12">
        <f t="shared" si="33"/>
        <v>20.6070386140529</v>
      </c>
      <c r="H10175" s="12">
        <f t="shared" si="34"/>
        <v>23.7669630944817</v>
      </c>
      <c r="I10175" s="12">
        <f t="shared" si="39"/>
        <v>128.25</v>
      </c>
      <c r="J10175" s="12">
        <f t="shared" si="35"/>
        <v>20.6070386140529</v>
      </c>
      <c r="K10175" s="12">
        <f t="shared" si="36"/>
        <v>23.7669630944817</v>
      </c>
    </row>
    <row r="10176" spans="1:11">
      <c r="A10176">
        <f t="shared" si="37"/>
        <v>175</v>
      </c>
      <c r="B10176">
        <f t="shared" si="29"/>
        <v>7.05707952862382</v>
      </c>
      <c r="C10176">
        <f t="shared" si="30"/>
        <v>23.3073361412149</v>
      </c>
      <c r="F10176" s="12">
        <f t="shared" si="38"/>
        <v>129</v>
      </c>
      <c r="G10176" s="12">
        <f t="shared" si="33"/>
        <v>20.5840291201379</v>
      </c>
      <c r="H10176" s="12">
        <f t="shared" si="34"/>
        <v>23.7485784132782</v>
      </c>
      <c r="I10176" s="12">
        <f t="shared" si="39"/>
        <v>129</v>
      </c>
      <c r="J10176" s="12">
        <f t="shared" si="35"/>
        <v>20.5840291201379</v>
      </c>
      <c r="K10176" s="12">
        <f t="shared" si="36"/>
        <v>23.7485784132782</v>
      </c>
    </row>
    <row r="10177" spans="1:11">
      <c r="A10177">
        <f t="shared" si="37"/>
        <v>176</v>
      </c>
      <c r="B10177">
        <f t="shared" si="29"/>
        <v>7.03653924610264</v>
      </c>
      <c r="C10177">
        <f t="shared" si="30"/>
        <v>23.0463471061619</v>
      </c>
      <c r="F10177" s="12">
        <f t="shared" si="38"/>
        <v>129.75</v>
      </c>
      <c r="G10177" s="12">
        <f t="shared" si="33"/>
        <v>20.5612622455437</v>
      </c>
      <c r="H10177" s="12">
        <f t="shared" si="34"/>
        <v>23.7298941221653</v>
      </c>
      <c r="I10177" s="12">
        <f t="shared" si="39"/>
        <v>129.75</v>
      </c>
      <c r="J10177" s="12">
        <f t="shared" si="35"/>
        <v>20.5612622455437</v>
      </c>
      <c r="K10177" s="12">
        <f t="shared" si="36"/>
        <v>23.7298941221653</v>
      </c>
    </row>
    <row r="10178" spans="1:11">
      <c r="A10178">
        <f t="shared" si="37"/>
        <v>177</v>
      </c>
      <c r="B10178">
        <f t="shared" si="29"/>
        <v>7.02055697868139</v>
      </c>
      <c r="C10178">
        <f t="shared" si="30"/>
        <v>22.7850393436442</v>
      </c>
      <c r="F10178" s="12">
        <f t="shared" si="38"/>
        <v>130.5</v>
      </c>
      <c r="G10178" s="12">
        <f t="shared" si="33"/>
        <v>20.5387418912571</v>
      </c>
      <c r="H10178" s="12">
        <f t="shared" si="34"/>
        <v>23.7109134226001</v>
      </c>
      <c r="I10178" s="12">
        <f t="shared" si="39"/>
        <v>130.5</v>
      </c>
      <c r="J10178" s="12">
        <f t="shared" si="35"/>
        <v>20.5387418912571</v>
      </c>
      <c r="K10178" s="12">
        <f t="shared" si="36"/>
        <v>23.7109134226001</v>
      </c>
    </row>
    <row r="10179" spans="1:11">
      <c r="A10179">
        <f t="shared" si="37"/>
        <v>178</v>
      </c>
      <c r="B10179">
        <f t="shared" si="29"/>
        <v>7.00913759471356</v>
      </c>
      <c r="C10179">
        <f t="shared" si="30"/>
        <v>22.5234924505375</v>
      </c>
      <c r="F10179" s="12">
        <f t="shared" si="38"/>
        <v>131.25</v>
      </c>
      <c r="G10179" s="12">
        <f t="shared" si="33"/>
        <v>20.5164719160248</v>
      </c>
      <c r="H10179" s="12">
        <f t="shared" si="34"/>
        <v>23.6916395668277</v>
      </c>
      <c r="I10179" s="12">
        <f t="shared" si="39"/>
        <v>131.25</v>
      </c>
      <c r="J10179" s="12">
        <f t="shared" si="35"/>
        <v>20.5164719160248</v>
      </c>
      <c r="K10179" s="12">
        <f t="shared" si="36"/>
        <v>23.6916395668277</v>
      </c>
    </row>
    <row r="10180" spans="1:11">
      <c r="A10180">
        <f t="shared" si="37"/>
        <v>179</v>
      </c>
      <c r="B10180">
        <f t="shared" si="29"/>
        <v>7.00228457265413</v>
      </c>
      <c r="C10180">
        <f t="shared" si="30"/>
        <v>22.2617860965593</v>
      </c>
      <c r="F10180" s="12">
        <f t="shared" si="38"/>
        <v>132</v>
      </c>
      <c r="G10180" s="12">
        <f t="shared" si="33"/>
        <v>20.4944561356926</v>
      </c>
      <c r="H10180" s="12">
        <f t="shared" si="34"/>
        <v>23.6720758573241</v>
      </c>
      <c r="I10180" s="12">
        <f t="shared" si="39"/>
        <v>132</v>
      </c>
      <c r="J10180" s="12">
        <f t="shared" si="35"/>
        <v>20.4944561356926</v>
      </c>
      <c r="K10180" s="12">
        <f t="shared" si="36"/>
        <v>23.6720758573241</v>
      </c>
    </row>
    <row r="10181" spans="1:11">
      <c r="A10181">
        <f t="shared" si="37"/>
        <v>180</v>
      </c>
      <c r="B10181">
        <f t="shared" si="29"/>
        <v>7</v>
      </c>
      <c r="C10181">
        <f t="shared" si="30"/>
        <v>22</v>
      </c>
      <c r="F10181" s="12">
        <f t="shared" si="38"/>
        <v>132.75</v>
      </c>
      <c r="G10181" s="12">
        <f t="shared" si="33"/>
        <v>20.4726983225509</v>
      </c>
      <c r="H10181" s="12">
        <f t="shared" si="34"/>
        <v>23.6522256462303</v>
      </c>
      <c r="I10181" s="12">
        <f t="shared" si="39"/>
        <v>132.75</v>
      </c>
      <c r="J10181" s="12">
        <f t="shared" si="35"/>
        <v>20.4726983225509</v>
      </c>
      <c r="K10181" s="12">
        <f t="shared" si="36"/>
        <v>23.6522256462303</v>
      </c>
    </row>
    <row r="10182" spans="1:11">
      <c r="A10182">
        <f t="shared" si="37"/>
        <v>181</v>
      </c>
      <c r="B10182">
        <f t="shared" si="29"/>
        <v>7.00228457265413</v>
      </c>
      <c r="C10182">
        <f t="shared" si="30"/>
        <v>21.7382139034408</v>
      </c>
      <c r="F10182" s="12">
        <f t="shared" si="38"/>
        <v>133.5</v>
      </c>
      <c r="G10182" s="12">
        <f t="shared" si="33"/>
        <v>20.4512022046891</v>
      </c>
      <c r="H10182" s="12">
        <f t="shared" si="34"/>
        <v>23.6320923347776</v>
      </c>
      <c r="I10182" s="12">
        <f t="shared" si="39"/>
        <v>133.5</v>
      </c>
      <c r="J10182" s="12">
        <f t="shared" si="35"/>
        <v>20.4512022046891</v>
      </c>
      <c r="K10182" s="12">
        <f t="shared" si="36"/>
        <v>23.6320923347776</v>
      </c>
    </row>
    <row r="10183" spans="1:11">
      <c r="A10183">
        <f t="shared" si="37"/>
        <v>182</v>
      </c>
      <c r="B10183">
        <f t="shared" si="29"/>
        <v>7.00913759471356</v>
      </c>
      <c r="C10183">
        <f t="shared" si="30"/>
        <v>21.4765075494625</v>
      </c>
      <c r="F10183" s="12">
        <f t="shared" si="38"/>
        <v>134.25</v>
      </c>
      <c r="G10183" s="12">
        <f t="shared" si="33"/>
        <v>20.4299714653562</v>
      </c>
      <c r="H10183" s="12">
        <f t="shared" si="34"/>
        <v>23.6116793727055</v>
      </c>
      <c r="I10183" s="12">
        <f t="shared" si="39"/>
        <v>134.25</v>
      </c>
      <c r="J10183" s="12">
        <f t="shared" si="35"/>
        <v>20.4299714653562</v>
      </c>
      <c r="K10183" s="12">
        <f t="shared" si="36"/>
        <v>23.6116793727055</v>
      </c>
    </row>
    <row r="10184" spans="1:11">
      <c r="A10184">
        <f t="shared" si="37"/>
        <v>183</v>
      </c>
      <c r="B10184">
        <f t="shared" si="29"/>
        <v>7.02055697868139</v>
      </c>
      <c r="C10184">
        <f t="shared" si="30"/>
        <v>21.2149606563558</v>
      </c>
      <c r="F10184" s="12">
        <f t="shared" si="38"/>
        <v>135</v>
      </c>
      <c r="G10184" s="12">
        <f t="shared" si="33"/>
        <v>20.4090097423303</v>
      </c>
      <c r="H10184" s="12">
        <f t="shared" si="34"/>
        <v>23.5909902576697</v>
      </c>
      <c r="I10184" s="12">
        <f t="shared" si="39"/>
        <v>135</v>
      </c>
      <c r="J10184" s="12">
        <f t="shared" si="35"/>
        <v>20.4090097423303</v>
      </c>
      <c r="K10184" s="12">
        <f t="shared" si="36"/>
        <v>23.5909902576697</v>
      </c>
    </row>
    <row r="10185" spans="1:11">
      <c r="A10185">
        <f t="shared" si="37"/>
        <v>184</v>
      </c>
      <c r="B10185">
        <f t="shared" si="29"/>
        <v>7.03653924610263</v>
      </c>
      <c r="C10185">
        <f t="shared" si="30"/>
        <v>20.9536528938381</v>
      </c>
      <c r="F10185" s="12">
        <f t="shared" si="38"/>
        <v>135.75</v>
      </c>
      <c r="G10185" s="12">
        <f t="shared" si="33"/>
        <v>20.3883206272945</v>
      </c>
      <c r="H10185" s="12">
        <f t="shared" si="34"/>
        <v>23.5700285346438</v>
      </c>
      <c r="I10185" s="12">
        <f t="shared" si="39"/>
        <v>135.75</v>
      </c>
      <c r="J10185" s="12">
        <f t="shared" si="35"/>
        <v>20.3883206272945</v>
      </c>
      <c r="K10185" s="12">
        <f t="shared" si="36"/>
        <v>23.5700285346438</v>
      </c>
    </row>
    <row r="10186" spans="1:11">
      <c r="A10186">
        <f t="shared" si="37"/>
        <v>185</v>
      </c>
      <c r="B10186">
        <f t="shared" si="29"/>
        <v>7.05707952862382</v>
      </c>
      <c r="C10186">
        <f t="shared" si="30"/>
        <v>20.6926638587851</v>
      </c>
      <c r="F10186" s="12">
        <f t="shared" si="38"/>
        <v>136.5</v>
      </c>
      <c r="G10186" s="12">
        <f t="shared" si="33"/>
        <v>20.3679076652224</v>
      </c>
      <c r="H10186" s="12">
        <f t="shared" si="34"/>
        <v>23.5487977953109</v>
      </c>
      <c r="I10186" s="12">
        <f t="shared" si="39"/>
        <v>136.5</v>
      </c>
      <c r="J10186" s="12">
        <f t="shared" si="35"/>
        <v>20.3679076652224</v>
      </c>
      <c r="K10186" s="12">
        <f t="shared" si="36"/>
        <v>23.5487977953109</v>
      </c>
    </row>
    <row r="10187" spans="1:11">
      <c r="A10187">
        <f t="shared" si="37"/>
        <v>186</v>
      </c>
      <c r="B10187">
        <f t="shared" si="29"/>
        <v>7.0821715694759</v>
      </c>
      <c r="C10187">
        <f t="shared" si="30"/>
        <v>20.4320730509852</v>
      </c>
      <c r="F10187" s="12">
        <f t="shared" si="38"/>
        <v>137.25</v>
      </c>
      <c r="G10187" s="12">
        <f t="shared" si="33"/>
        <v>20.3477743537697</v>
      </c>
      <c r="H10187" s="12">
        <f t="shared" si="34"/>
        <v>23.5273016774491</v>
      </c>
      <c r="I10187" s="12">
        <f t="shared" si="39"/>
        <v>137.25</v>
      </c>
      <c r="J10187" s="12">
        <f t="shared" si="35"/>
        <v>20.3477743537697</v>
      </c>
      <c r="K10187" s="12">
        <f t="shared" si="36"/>
        <v>23.5273016774491</v>
      </c>
    </row>
    <row r="10188" spans="1:11">
      <c r="A10188">
        <f t="shared" si="37"/>
        <v>187</v>
      </c>
      <c r="B10188">
        <f t="shared" si="29"/>
        <v>7.11180772538017</v>
      </c>
      <c r="C10188">
        <f t="shared" si="30"/>
        <v>20.1719598489228</v>
      </c>
      <c r="F10188" s="12">
        <f t="shared" si="38"/>
        <v>138</v>
      </c>
      <c r="G10188" s="12">
        <f t="shared" si="33"/>
        <v>20.3279241426759</v>
      </c>
      <c r="H10188" s="12">
        <f t="shared" si="34"/>
        <v>23.5055438643074</v>
      </c>
      <c r="I10188" s="12">
        <f t="shared" si="39"/>
        <v>138</v>
      </c>
      <c r="J10188" s="12">
        <f t="shared" si="35"/>
        <v>20.3279241426759</v>
      </c>
      <c r="K10188" s="12">
        <f t="shared" si="36"/>
        <v>23.5055438643074</v>
      </c>
    </row>
    <row r="10189" spans="1:11">
      <c r="A10189">
        <f t="shared" si="37"/>
        <v>188</v>
      </c>
      <c r="B10189">
        <f t="shared" si="29"/>
        <v>7.14597896887645</v>
      </c>
      <c r="C10189">
        <f t="shared" si="30"/>
        <v>19.912403485599</v>
      </c>
      <c r="F10189" s="12">
        <f t="shared" si="38"/>
        <v>138.75</v>
      </c>
      <c r="G10189" s="12">
        <f t="shared" si="33"/>
        <v>20.3083604331723</v>
      </c>
      <c r="H10189" s="12">
        <f t="shared" si="34"/>
        <v>23.4835280839752</v>
      </c>
      <c r="I10189" s="12">
        <f t="shared" si="39"/>
        <v>138.75</v>
      </c>
      <c r="J10189" s="12">
        <f t="shared" si="35"/>
        <v>20.3083604331723</v>
      </c>
      <c r="K10189" s="12">
        <f t="shared" si="36"/>
        <v>23.4835280839752</v>
      </c>
    </row>
    <row r="10190" spans="1:11">
      <c r="A10190">
        <f t="shared" si="37"/>
        <v>189</v>
      </c>
      <c r="B10190">
        <f t="shared" si="29"/>
        <v>7.18467489107293</v>
      </c>
      <c r="C10190">
        <f t="shared" si="30"/>
        <v>19.6534830243965</v>
      </c>
      <c r="F10190" s="12">
        <f t="shared" si="38"/>
        <v>139.5</v>
      </c>
      <c r="G10190" s="12">
        <f t="shared" si="33"/>
        <v>20.2890865773999</v>
      </c>
      <c r="H10190" s="12">
        <f t="shared" si="34"/>
        <v>23.4612581087429</v>
      </c>
      <c r="I10190" s="12">
        <f t="shared" si="39"/>
        <v>139.5</v>
      </c>
      <c r="J10190" s="12">
        <f t="shared" si="35"/>
        <v>20.2890865773999</v>
      </c>
      <c r="K10190" s="12">
        <f t="shared" si="36"/>
        <v>23.4612581087429</v>
      </c>
    </row>
    <row r="10191" spans="1:11">
      <c r="A10191">
        <f t="shared" si="37"/>
        <v>190</v>
      </c>
      <c r="B10191">
        <f t="shared" si="29"/>
        <v>7.22788370481688</v>
      </c>
      <c r="C10191">
        <f t="shared" si="30"/>
        <v>19.395277334996</v>
      </c>
      <c r="F10191" s="12">
        <f t="shared" si="38"/>
        <v>140.25</v>
      </c>
      <c r="G10191" s="12">
        <f t="shared" si="33"/>
        <v>20.2701058778347</v>
      </c>
      <c r="H10191" s="12">
        <f t="shared" si="34"/>
        <v>23.4387377544563</v>
      </c>
      <c r="I10191" s="12">
        <f t="shared" si="39"/>
        <v>140.25</v>
      </c>
      <c r="J10191" s="12">
        <f t="shared" si="35"/>
        <v>20.2701058778347</v>
      </c>
      <c r="K10191" s="12">
        <f t="shared" si="36"/>
        <v>23.4387377544563</v>
      </c>
    </row>
    <row r="10192" spans="1:11">
      <c r="A10192">
        <f t="shared" si="37"/>
        <v>191</v>
      </c>
      <c r="B10192">
        <f t="shared" si="29"/>
        <v>7.27559224828504</v>
      </c>
      <c r="C10192">
        <f t="shared" si="30"/>
        <v>19.1378650693518</v>
      </c>
      <c r="F10192" s="12">
        <f t="shared" si="38"/>
        <v>141</v>
      </c>
      <c r="G10192" s="12">
        <f t="shared" si="33"/>
        <v>20.2514215867218</v>
      </c>
      <c r="H10192" s="12">
        <f t="shared" si="34"/>
        <v>23.4159708798621</v>
      </c>
      <c r="I10192" s="12">
        <f t="shared" si="39"/>
        <v>141</v>
      </c>
      <c r="J10192" s="12">
        <f t="shared" si="35"/>
        <v>20.2514215867218</v>
      </c>
      <c r="K10192" s="12">
        <f t="shared" si="36"/>
        <v>23.4159708798621</v>
      </c>
    </row>
    <row r="10193" spans="1:11">
      <c r="A10193">
        <f t="shared" si="37"/>
        <v>192</v>
      </c>
      <c r="B10193">
        <f t="shared" ref="B10193:B10256" si="40">COS(A10193/180*PI())*$E$10001+$E$10002</f>
        <v>7.32778598899291</v>
      </c>
      <c r="C10193">
        <f t="shared" ref="C10193:C10256" si="41">SIN(A10193/180*PI())*$E$10001+$E$10003</f>
        <v>18.8813246377336</v>
      </c>
      <c r="F10193" s="12">
        <f t="shared" si="38"/>
        <v>141.75</v>
      </c>
      <c r="G10193" s="12">
        <f t="shared" si="33"/>
        <v>20.2330369055183</v>
      </c>
      <c r="H10193" s="12">
        <f t="shared" si="34"/>
        <v>23.3929613859471</v>
      </c>
      <c r="I10193" s="12">
        <f t="shared" si="39"/>
        <v>141.75</v>
      </c>
      <c r="J10193" s="12">
        <f t="shared" si="35"/>
        <v>20.2330369055183</v>
      </c>
      <c r="K10193" s="12">
        <f t="shared" si="36"/>
        <v>23.3929613859471</v>
      </c>
    </row>
    <row r="10194" spans="1:11">
      <c r="A10194">
        <f t="shared" si="37"/>
        <v>193</v>
      </c>
      <c r="B10194">
        <f t="shared" si="40"/>
        <v>7.38444902822147</v>
      </c>
      <c r="C10194">
        <f t="shared" si="41"/>
        <v>18.625734184842</v>
      </c>
      <c r="F10194" s="12">
        <f t="shared" si="38"/>
        <v>142.5</v>
      </c>
      <c r="G10194" s="12">
        <f t="shared" si="33"/>
        <v>20.2149549843447</v>
      </c>
      <c r="H10194" s="12">
        <f t="shared" si="34"/>
        <v>23.3697132152696</v>
      </c>
      <c r="I10194" s="12">
        <f t="shared" si="39"/>
        <v>142.5</v>
      </c>
      <c r="J10194" s="12">
        <f t="shared" si="35"/>
        <v>20.2149549843447</v>
      </c>
      <c r="K10194" s="12">
        <f t="shared" si="36"/>
        <v>23.3697132152696</v>
      </c>
    </row>
    <row r="10195" spans="1:11">
      <c r="A10195">
        <f t="shared" si="37"/>
        <v>194</v>
      </c>
      <c r="B10195">
        <f t="shared" si="40"/>
        <v>7.44556410586005</v>
      </c>
      <c r="C10195">
        <f t="shared" si="41"/>
        <v>18.371171566005</v>
      </c>
      <c r="F10195" s="12">
        <f t="shared" si="38"/>
        <v>143.25</v>
      </c>
      <c r="G10195" s="12">
        <f t="shared" si="33"/>
        <v>20.1971789214451</v>
      </c>
      <c r="H10195" s="12">
        <f t="shared" si="34"/>
        <v>23.346230351284</v>
      </c>
      <c r="I10195" s="12">
        <f t="shared" si="39"/>
        <v>143.25</v>
      </c>
      <c r="J10195" s="12">
        <f t="shared" si="35"/>
        <v>20.1971789214451</v>
      </c>
      <c r="K10195" s="12">
        <f t="shared" si="36"/>
        <v>23.346230351284</v>
      </c>
    </row>
    <row r="10196" spans="1:11">
      <c r="A10196">
        <f t="shared" si="37"/>
        <v>195</v>
      </c>
      <c r="B10196">
        <f t="shared" si="40"/>
        <v>7.51111260566397</v>
      </c>
      <c r="C10196">
        <f t="shared" si="41"/>
        <v>18.1177143234622</v>
      </c>
      <c r="F10196" s="12">
        <f t="shared" si="38"/>
        <v>144</v>
      </c>
      <c r="G10196" s="12">
        <f t="shared" si="33"/>
        <v>20.1797117626564</v>
      </c>
      <c r="H10196" s="12">
        <f t="shared" si="34"/>
        <v>23.3225168176581</v>
      </c>
      <c r="I10196" s="12">
        <f t="shared" si="39"/>
        <v>144</v>
      </c>
      <c r="J10196" s="12">
        <f t="shared" si="35"/>
        <v>20.1797117626564</v>
      </c>
      <c r="K10196" s="12">
        <f t="shared" si="36"/>
        <v>23.3225168176581</v>
      </c>
    </row>
    <row r="10197" spans="1:11">
      <c r="A10197">
        <f t="shared" si="37"/>
        <v>196</v>
      </c>
      <c r="B10197">
        <f t="shared" si="40"/>
        <v>7.58107456092521</v>
      </c>
      <c r="C10197">
        <f t="shared" si="41"/>
        <v>17.865439662745</v>
      </c>
      <c r="F10197" s="12">
        <f t="shared" ref="F10197:F10204" si="42">MOD(F10196-$E$10006*$H$10002,360)</f>
        <v>144.75</v>
      </c>
      <c r="G10197" s="12">
        <f t="shared" si="33"/>
        <v>20.1625565008862</v>
      </c>
      <c r="H10197" s="12">
        <f t="shared" si="34"/>
        <v>23.2985766775838</v>
      </c>
      <c r="I10197" s="12">
        <f t="shared" ref="I10197:I10204" si="43">MOD(I10196-$E$10006*$K$10002,360)</f>
        <v>144.75</v>
      </c>
      <c r="J10197" s="12">
        <f t="shared" si="35"/>
        <v>20.1625565008862</v>
      </c>
      <c r="K10197" s="12">
        <f t="shared" si="36"/>
        <v>23.2985766775838</v>
      </c>
    </row>
    <row r="10198" spans="1:11">
      <c r="A10198">
        <f t="shared" si="37"/>
        <v>197</v>
      </c>
      <c r="B10198">
        <f t="shared" si="40"/>
        <v>7.65542866055447</v>
      </c>
      <c r="C10198">
        <f t="shared" si="41"/>
        <v>17.6144244291589</v>
      </c>
      <c r="F10198" s="12">
        <f t="shared" si="42"/>
        <v>145.5</v>
      </c>
      <c r="G10198" s="12">
        <f t="shared" ref="G10198:G10204" si="44">COS(F10198/180*PI())*$E$10001*$R$10019+$E$10002</f>
        <v>20.1457160756005</v>
      </c>
      <c r="H10198" s="12">
        <f t="shared" ref="H10198:H10204" si="45">SIN(F10198/180*PI())*$E$10001*$R$10019+$E$10003</f>
        <v>23.2744140330809</v>
      </c>
      <c r="I10198" s="12">
        <f t="shared" si="43"/>
        <v>145.5</v>
      </c>
      <c r="J10198" s="12">
        <f t="shared" si="35"/>
        <v>20.1457160756005</v>
      </c>
      <c r="K10198" s="12">
        <f t="shared" si="36"/>
        <v>23.2744140330809</v>
      </c>
    </row>
    <row r="10199" spans="1:11">
      <c r="A10199">
        <f t="shared" si="37"/>
        <v>198</v>
      </c>
      <c r="B10199">
        <f t="shared" si="40"/>
        <v>7.7341522555727</v>
      </c>
      <c r="C10199">
        <f t="shared" si="41"/>
        <v>17.3647450843758</v>
      </c>
      <c r="F10199" s="12">
        <f t="shared" si="42"/>
        <v>146.25</v>
      </c>
      <c r="G10199" s="12">
        <f t="shared" si="44"/>
        <v>20.1291933723193</v>
      </c>
      <c r="H10199" s="12">
        <f t="shared" si="45"/>
        <v>23.2500330242941</v>
      </c>
      <c r="I10199" s="12">
        <f t="shared" si="43"/>
        <v>146.25</v>
      </c>
      <c r="J10199" s="12">
        <f t="shared" si="35"/>
        <v>20.1291933723193</v>
      </c>
      <c r="K10199" s="12">
        <f t="shared" si="36"/>
        <v>23.2500330242941</v>
      </c>
    </row>
    <row r="10200" spans="1:11">
      <c r="A10200">
        <f t="shared" si="37"/>
        <v>199</v>
      </c>
      <c r="B10200">
        <f t="shared" si="40"/>
        <v>7.81722136601025</v>
      </c>
      <c r="C10200">
        <f t="shared" si="41"/>
        <v>17.1164776831426</v>
      </c>
      <c r="F10200" s="12">
        <f t="shared" si="42"/>
        <v>147</v>
      </c>
      <c r="G10200" s="12">
        <f t="shared" si="44"/>
        <v>20.1129912221228</v>
      </c>
      <c r="H10200" s="12">
        <f t="shared" si="45"/>
        <v>23.2254378287838</v>
      </c>
      <c r="I10200" s="12">
        <f t="shared" si="43"/>
        <v>147</v>
      </c>
      <c r="J10200" s="12">
        <f t="shared" si="35"/>
        <v>20.1129912221228</v>
      </c>
      <c r="K10200" s="12">
        <f t="shared" si="36"/>
        <v>23.2254378287838</v>
      </c>
    </row>
    <row r="10201" spans="1:11">
      <c r="A10201">
        <f t="shared" si="37"/>
        <v>200</v>
      </c>
      <c r="B10201">
        <f t="shared" si="40"/>
        <v>7.90461068821137</v>
      </c>
      <c r="C10201">
        <f t="shared" si="41"/>
        <v>16.869697850115</v>
      </c>
      <c r="F10201" s="12">
        <f t="shared" si="42"/>
        <v>147.75</v>
      </c>
      <c r="G10201" s="12">
        <f t="shared" si="44"/>
        <v>20.0971124011661</v>
      </c>
      <c r="H10201" s="12">
        <f t="shared" si="45"/>
        <v>23.2006326608101</v>
      </c>
      <c r="I10201" s="12">
        <f t="shared" si="43"/>
        <v>147.75</v>
      </c>
      <c r="J10201" s="12">
        <f t="shared" si="35"/>
        <v>20.0971124011661</v>
      </c>
      <c r="K10201" s="12">
        <f t="shared" si="36"/>
        <v>23.2006326608101</v>
      </c>
    </row>
    <row r="10202" spans="1:11">
      <c r="A10202">
        <f t="shared" si="37"/>
        <v>201</v>
      </c>
      <c r="B10202">
        <f t="shared" si="40"/>
        <v>7.99629360254197</v>
      </c>
      <c r="C10202">
        <f t="shared" si="41"/>
        <v>16.6244807568205</v>
      </c>
      <c r="F10202" s="12">
        <f t="shared" si="42"/>
        <v>148.5</v>
      </c>
      <c r="G10202" s="12">
        <f t="shared" si="44"/>
        <v>20.0815596302033</v>
      </c>
      <c r="H10202" s="12">
        <f t="shared" si="45"/>
        <v>23.1756217706109</v>
      </c>
      <c r="I10202" s="12">
        <f t="shared" si="43"/>
        <v>148.5</v>
      </c>
      <c r="J10202" s="12">
        <f t="shared" si="35"/>
        <v>20.0815596302033</v>
      </c>
      <c r="K10202" s="12">
        <f t="shared" si="36"/>
        <v>23.1756217706109</v>
      </c>
    </row>
    <row r="10203" spans="1:11">
      <c r="A10203">
        <f t="shared" si="37"/>
        <v>202</v>
      </c>
      <c r="B10203">
        <f t="shared" si="40"/>
        <v>8.09224218149819</v>
      </c>
      <c r="C10203">
        <f t="shared" si="41"/>
        <v>16.3809010987613</v>
      </c>
      <c r="F10203" s="12">
        <f t="shared" si="42"/>
        <v>149.25</v>
      </c>
      <c r="G10203" s="12">
        <f t="shared" si="44"/>
        <v>20.0663355741217</v>
      </c>
      <c r="H10203" s="12">
        <f t="shared" si="45"/>
        <v>23.1504094436734</v>
      </c>
      <c r="I10203" s="12">
        <f t="shared" si="43"/>
        <v>149.25</v>
      </c>
      <c r="J10203" s="12">
        <f t="shared" si="35"/>
        <v>20.0663355741217</v>
      </c>
      <c r="K10203" s="12">
        <f t="shared" si="36"/>
        <v>23.1504094436734</v>
      </c>
    </row>
    <row r="10204" spans="1:11">
      <c r="A10204">
        <f t="shared" si="37"/>
        <v>203</v>
      </c>
      <c r="B10204">
        <f t="shared" si="40"/>
        <v>8.19242719821339</v>
      </c>
      <c r="C10204">
        <f t="shared" si="41"/>
        <v>16.1390330726609</v>
      </c>
      <c r="F10204" s="12">
        <f t="shared" si="42"/>
        <v>150</v>
      </c>
      <c r="G10204" s="12">
        <f t="shared" si="44"/>
        <v>20.051442841485</v>
      </c>
      <c r="H10204" s="12">
        <f t="shared" si="45"/>
        <v>23.125</v>
      </c>
      <c r="I10204" s="12">
        <f t="shared" si="43"/>
        <v>150</v>
      </c>
      <c r="J10204" s="12">
        <f t="shared" si="35"/>
        <v>20.051442841485</v>
      </c>
      <c r="K10204" s="12">
        <f t="shared" si="36"/>
        <v>23.125</v>
      </c>
    </row>
    <row r="10205" spans="1:11">
      <c r="A10205">
        <f t="shared" si="37"/>
        <v>204</v>
      </c>
      <c r="B10205">
        <f t="shared" si="40"/>
        <v>8.29681813536098</v>
      </c>
      <c r="C10205">
        <f t="shared" si="41"/>
        <v>15.898950353863</v>
      </c>
      <c r="F10205" s="12"/>
      <c r="G10205" s="17" t="s">
        <v>35</v>
      </c>
      <c r="H10205" s="17"/>
      <c r="I10205" s="12"/>
      <c r="J10205" s="17" t="s">
        <v>35</v>
      </c>
      <c r="K10205" s="17"/>
    </row>
    <row r="10206" spans="1:11">
      <c r="A10206">
        <f t="shared" si="37"/>
        <v>205</v>
      </c>
      <c r="B10206">
        <f t="shared" si="40"/>
        <v>8.40538319445025</v>
      </c>
      <c r="C10206">
        <f t="shared" si="41"/>
        <v>15.6607260738895</v>
      </c>
      <c r="G10206" s="1">
        <f>(G10103-E10002)*1.5+E10002</f>
        <v>22.9161115182946</v>
      </c>
      <c r="H10206" s="1">
        <f>(H10103-E10003)*1.5+E10003</f>
        <v>25.2482864230311</v>
      </c>
      <c r="J10206" s="1">
        <f>(J10103-E10002)*1.2+E10002</f>
        <v>22.7328892146357</v>
      </c>
      <c r="K10206" s="1">
        <f>(K10103-E10003)*1.2+E10003</f>
        <v>24.5986291384248</v>
      </c>
    </row>
    <row r="10207" spans="1:11">
      <c r="A10207">
        <f t="shared" si="37"/>
        <v>206</v>
      </c>
      <c r="B10207">
        <f t="shared" si="40"/>
        <v>8.51808930551249</v>
      </c>
      <c r="C10207">
        <f t="shared" si="41"/>
        <v>15.4244327981638</v>
      </c>
      <c r="F10207" s="5">
        <f>G10002</f>
        <v>150</v>
      </c>
      <c r="G10207" s="5">
        <f>MOD(R10003-E10006*R10007+720,360)</f>
        <v>165</v>
      </c>
      <c r="H10207" s="5">
        <f>MOD(720+R10008,360)/200</f>
        <v>0.075</v>
      </c>
      <c r="I10207" s="5">
        <f>J10002</f>
        <v>150</v>
      </c>
      <c r="J10207" s="5">
        <f>MOD(R10004-E10006*R10011+720,360)</f>
        <v>165</v>
      </c>
      <c r="K10207" s="5">
        <f>MOD(720+R10012,360)/200</f>
        <v>0.075</v>
      </c>
    </row>
    <row r="10208" spans="1:11">
      <c r="A10208">
        <f t="shared" si="37"/>
        <v>207</v>
      </c>
      <c r="B10208">
        <f t="shared" si="40"/>
        <v>8.63490213717448</v>
      </c>
      <c r="C10208">
        <f t="shared" si="41"/>
        <v>15.1901425039068</v>
      </c>
      <c r="F10208" s="13" t="s">
        <v>35</v>
      </c>
      <c r="G10208" s="5" t="str">
        <f>MOD(H10207*200,360)&amp;"°"</f>
        <v>15°</v>
      </c>
      <c r="H10208" s="5"/>
      <c r="I10208" s="13" t="s">
        <v>35</v>
      </c>
      <c r="J10208" s="5" t="str">
        <f>MOD(K10207*200,360)&amp;"°"</f>
        <v>15°</v>
      </c>
      <c r="K10208" s="5"/>
    </row>
    <row r="10209" spans="1:11">
      <c r="A10209">
        <f t="shared" si="37"/>
        <v>208</v>
      </c>
      <c r="B10209">
        <f t="shared" si="40"/>
        <v>8.75578610711609</v>
      </c>
      <c r="C10209">
        <f t="shared" si="41"/>
        <v>14.9579265582116</v>
      </c>
      <c r="F10209" s="12">
        <f>MOD(F10207,360)</f>
        <v>150</v>
      </c>
      <c r="G10209" s="12">
        <f>COS(F10209/180*PI())*$E$10001*$R$10017+$E$10002</f>
        <v>19.4019237886467</v>
      </c>
      <c r="H10209" s="12">
        <f>SIN(F10209/180*PI())*$E$10001*$R$10017+$E$10003</f>
        <v>23.5</v>
      </c>
      <c r="I10209" s="12">
        <f>MOD(I10207,360)</f>
        <v>150</v>
      </c>
      <c r="J10209" s="12">
        <f>COS(I10209/180*PI())*$E$10001*$R$10021+$E$10002</f>
        <v>19.4019237886467</v>
      </c>
      <c r="K10209" s="12">
        <f>SIN(I10209/180*PI())*$E$10001*$R$10021+$E$10003</f>
        <v>23.5</v>
      </c>
    </row>
    <row r="10210" spans="1:11">
      <c r="A10210">
        <f t="shared" si="37"/>
        <v>209</v>
      </c>
      <c r="B10210">
        <f t="shared" si="40"/>
        <v>8.88070439290906</v>
      </c>
      <c r="C10210">
        <f t="shared" si="41"/>
        <v>14.7278556963049</v>
      </c>
      <c r="F10210" s="12">
        <f t="shared" ref="F10210:F10241" si="46">MOD(F10209-$E$10006*$H$10207,360)</f>
        <v>150.075</v>
      </c>
      <c r="G10210" s="12">
        <f t="shared" ref="G10210:G10273" si="47">COS(F10210/180*PI())*$E$10001*$R$10017+$E$10002</f>
        <v>19.3999625196653</v>
      </c>
      <c r="H10210" s="12">
        <f t="shared" ref="H10210:H10273" si="48">SIN(F10210/180*PI())*$E$10001*$R$10017+$E$10003</f>
        <v>23.4965978420587</v>
      </c>
      <c r="I10210" s="12">
        <f t="shared" ref="I10210:I10241" si="49">MOD(I10209-$E$10006*$K$10207,360)</f>
        <v>150.075</v>
      </c>
      <c r="J10210" s="12">
        <f t="shared" ref="J10210:J10273" si="50">COS(I10210/180*PI())*$E$10001*$R$10021+$E$10002</f>
        <v>19.3999625196653</v>
      </c>
      <c r="K10210" s="12">
        <f t="shared" ref="K10210:K10273" si="51">SIN(I10210/180*PI())*$E$10001*$R$10021+$E$10003</f>
        <v>23.4965978420587</v>
      </c>
    </row>
    <row r="10211" spans="1:11">
      <c r="A10211">
        <f t="shared" si="37"/>
        <v>210</v>
      </c>
      <c r="B10211">
        <f t="shared" si="40"/>
        <v>9.00961894323342</v>
      </c>
      <c r="C10211">
        <f t="shared" si="41"/>
        <v>14.5</v>
      </c>
      <c r="F10211" s="12">
        <f t="shared" si="46"/>
        <v>150.15</v>
      </c>
      <c r="G10211" s="12">
        <f t="shared" si="47"/>
        <v>19.3980057057773</v>
      </c>
      <c r="H10211" s="12">
        <f t="shared" si="48"/>
        <v>23.4931931197378</v>
      </c>
      <c r="I10211" s="12">
        <f t="shared" si="49"/>
        <v>150.15</v>
      </c>
      <c r="J10211" s="12">
        <f t="shared" si="50"/>
        <v>19.3980057057773</v>
      </c>
      <c r="K10211" s="12">
        <f t="shared" si="51"/>
        <v>23.4931931197378</v>
      </c>
    </row>
    <row r="10212" spans="1:11">
      <c r="A10212">
        <f t="shared" si="37"/>
        <v>211</v>
      </c>
      <c r="B10212">
        <f t="shared" si="40"/>
        <v>9.14249048946832</v>
      </c>
      <c r="C10212">
        <f t="shared" si="41"/>
        <v>14.2744288763492</v>
      </c>
      <c r="F10212" s="12">
        <f t="shared" si="46"/>
        <v>150.225</v>
      </c>
      <c r="G10212" s="12">
        <f t="shared" si="47"/>
        <v>19.3960533503356</v>
      </c>
      <c r="H10212" s="12">
        <f t="shared" si="48"/>
        <v>23.4897858388712</v>
      </c>
      <c r="I10212" s="12">
        <f t="shared" si="49"/>
        <v>150.225</v>
      </c>
      <c r="J10212" s="12">
        <f t="shared" si="50"/>
        <v>19.3960533503356</v>
      </c>
      <c r="K10212" s="12">
        <f t="shared" si="51"/>
        <v>23.4897858388712</v>
      </c>
    </row>
    <row r="10213" spans="1:11">
      <c r="A10213">
        <f t="shared" si="37"/>
        <v>212</v>
      </c>
      <c r="B10213">
        <f t="shared" si="40"/>
        <v>9.27927855765361</v>
      </c>
      <c r="C10213">
        <f t="shared" si="41"/>
        <v>14.0512110365019</v>
      </c>
      <c r="F10213" s="12">
        <f t="shared" si="46"/>
        <v>150.3</v>
      </c>
      <c r="G10213" s="12">
        <f t="shared" si="47"/>
        <v>19.3941054566854</v>
      </c>
      <c r="H10213" s="12">
        <f t="shared" si="48"/>
        <v>23.4863760052972</v>
      </c>
      <c r="I10213" s="12">
        <f t="shared" si="49"/>
        <v>150.3</v>
      </c>
      <c r="J10213" s="12">
        <f t="shared" si="50"/>
        <v>19.3941054566854</v>
      </c>
      <c r="K10213" s="12">
        <f t="shared" si="51"/>
        <v>23.4863760052972</v>
      </c>
    </row>
    <row r="10214" spans="1:11">
      <c r="A10214">
        <f t="shared" si="37"/>
        <v>213</v>
      </c>
      <c r="B10214">
        <f t="shared" si="40"/>
        <v>9.41994148081864</v>
      </c>
      <c r="C10214">
        <f t="shared" si="41"/>
        <v>13.8304144747746</v>
      </c>
      <c r="F10214" s="12">
        <f t="shared" si="46"/>
        <v>150.375</v>
      </c>
      <c r="G10214" s="12">
        <f t="shared" si="47"/>
        <v>19.3921620281646</v>
      </c>
      <c r="H10214" s="12">
        <f t="shared" si="48"/>
        <v>23.4829636248584</v>
      </c>
      <c r="I10214" s="12">
        <f t="shared" si="49"/>
        <v>150.375</v>
      </c>
      <c r="J10214" s="12">
        <f t="shared" si="50"/>
        <v>19.3921620281646</v>
      </c>
      <c r="K10214" s="12">
        <f t="shared" si="51"/>
        <v>23.4829636248584</v>
      </c>
    </row>
    <row r="10215" spans="1:18">
      <c r="A10215">
        <f t="shared" ref="A10215:A10278" si="52">A10214+1</f>
        <v>214</v>
      </c>
      <c r="B10215">
        <f t="shared" si="40"/>
        <v>9.56443641167437</v>
      </c>
      <c r="C10215">
        <f t="shared" si="41"/>
        <v>13.6121064479388</v>
      </c>
      <c r="F10215" s="12">
        <f t="shared" si="46"/>
        <v>150.45</v>
      </c>
      <c r="G10215" s="12">
        <f t="shared" si="47"/>
        <v>19.390223068103</v>
      </c>
      <c r="H10215" s="12">
        <f t="shared" si="48"/>
        <v>23.4795487034019</v>
      </c>
      <c r="I10215" s="12">
        <f t="shared" si="49"/>
        <v>150.45</v>
      </c>
      <c r="J10215" s="12">
        <f t="shared" si="50"/>
        <v>19.390223068103</v>
      </c>
      <c r="K10215" s="12">
        <f t="shared" si="51"/>
        <v>23.4795487034019</v>
      </c>
      <c r="L10215" s="12"/>
      <c r="M10215" s="12"/>
      <c r="N10215" s="12"/>
      <c r="O10215" s="12"/>
      <c r="P10215" s="12"/>
      <c r="Q10215" s="12"/>
      <c r="R10215" s="12"/>
    </row>
    <row r="10216" spans="1:11">
      <c r="A10216">
        <f t="shared" si="52"/>
        <v>215</v>
      </c>
      <c r="B10216">
        <f t="shared" si="40"/>
        <v>9.71271933566512</v>
      </c>
      <c r="C10216">
        <f t="shared" si="41"/>
        <v>13.3963534547343</v>
      </c>
      <c r="F10216" s="12">
        <f t="shared" si="46"/>
        <v>150.525</v>
      </c>
      <c r="G10216" s="12">
        <f t="shared" si="47"/>
        <v>19.388288579823</v>
      </c>
      <c r="H10216" s="12">
        <f t="shared" si="48"/>
        <v>23.476131246779</v>
      </c>
      <c r="I10216" s="12">
        <f t="shared" si="49"/>
        <v>150.525</v>
      </c>
      <c r="J10216" s="12">
        <f t="shared" si="50"/>
        <v>19.388288579823</v>
      </c>
      <c r="K10216" s="12">
        <f t="shared" si="51"/>
        <v>23.476131246779</v>
      </c>
    </row>
    <row r="10217" spans="1:11">
      <c r="A10217">
        <f t="shared" si="52"/>
        <v>216</v>
      </c>
      <c r="B10217">
        <f t="shared" si="40"/>
        <v>9.86474508437579</v>
      </c>
      <c r="C10217">
        <f t="shared" si="41"/>
        <v>13.1832212156129</v>
      </c>
      <c r="F10217" s="12">
        <f t="shared" si="46"/>
        <v>150.6</v>
      </c>
      <c r="G10217" s="12">
        <f t="shared" si="47"/>
        <v>19.3863585666394</v>
      </c>
      <c r="H10217" s="12">
        <f t="shared" si="48"/>
        <v>23.4727112608454</v>
      </c>
      <c r="I10217" s="12">
        <f t="shared" si="49"/>
        <v>150.6</v>
      </c>
      <c r="J10217" s="12">
        <f t="shared" si="50"/>
        <v>19.3863585666394</v>
      </c>
      <c r="K10217" s="12">
        <f t="shared" si="51"/>
        <v>23.4727112608454</v>
      </c>
    </row>
    <row r="10218" spans="1:11">
      <c r="A10218">
        <f t="shared" si="52"/>
        <v>217</v>
      </c>
      <c r="B10218">
        <f t="shared" si="40"/>
        <v>10.0204673492906</v>
      </c>
      <c r="C10218">
        <f t="shared" si="41"/>
        <v>12.9727746527193</v>
      </c>
      <c r="F10218" s="12">
        <f t="shared" si="46"/>
        <v>150.675</v>
      </c>
      <c r="G10218" s="12">
        <f t="shared" si="47"/>
        <v>19.3844330318592</v>
      </c>
      <c r="H10218" s="12">
        <f t="shared" si="48"/>
        <v>23.4692887514613</v>
      </c>
      <c r="I10218" s="12">
        <f t="shared" si="49"/>
        <v>150.675</v>
      </c>
      <c r="J10218" s="12">
        <f t="shared" si="50"/>
        <v>19.3844330318592</v>
      </c>
      <c r="K10218" s="12">
        <f t="shared" si="51"/>
        <v>23.4692887514613</v>
      </c>
    </row>
    <row r="10219" spans="1:11">
      <c r="A10219">
        <f t="shared" si="52"/>
        <v>218</v>
      </c>
      <c r="B10219">
        <f t="shared" si="40"/>
        <v>10.1798386958992</v>
      </c>
      <c r="C10219">
        <f t="shared" si="41"/>
        <v>12.7650778701151</v>
      </c>
      <c r="F10219" s="12">
        <f t="shared" si="46"/>
        <v>150.75</v>
      </c>
      <c r="G10219" s="12">
        <f t="shared" si="47"/>
        <v>19.3825119787816</v>
      </c>
      <c r="H10219" s="12">
        <f t="shared" si="48"/>
        <v>23.4658637244909</v>
      </c>
      <c r="I10219" s="12">
        <f t="shared" si="49"/>
        <v>150.75</v>
      </c>
      <c r="J10219" s="12">
        <f t="shared" si="50"/>
        <v>19.3825119787816</v>
      </c>
      <c r="K10219" s="12">
        <f t="shared" si="51"/>
        <v>23.4658637244909</v>
      </c>
    </row>
    <row r="10220" spans="1:11">
      <c r="A10220">
        <f t="shared" si="52"/>
        <v>219</v>
      </c>
      <c r="B10220">
        <f t="shared" si="40"/>
        <v>10.3428105781454</v>
      </c>
      <c r="C10220">
        <f t="shared" si="41"/>
        <v>12.5601941342524</v>
      </c>
      <c r="F10220" s="12">
        <f t="shared" si="46"/>
        <v>150.825</v>
      </c>
      <c r="G10220" s="12">
        <f t="shared" si="47"/>
        <v>19.3805954106984</v>
      </c>
      <c r="H10220" s="12">
        <f t="shared" si="48"/>
        <v>23.4624361858029</v>
      </c>
      <c r="I10220" s="12">
        <f t="shared" si="49"/>
        <v>150.825</v>
      </c>
      <c r="J10220" s="12">
        <f t="shared" si="50"/>
        <v>19.3805954106984</v>
      </c>
      <c r="K10220" s="12">
        <f t="shared" si="51"/>
        <v>23.4624361858029</v>
      </c>
    </row>
    <row r="10221" spans="1:11">
      <c r="A10221">
        <f t="shared" si="52"/>
        <v>220</v>
      </c>
      <c r="B10221">
        <f t="shared" si="40"/>
        <v>10.5093333532153</v>
      </c>
      <c r="C10221">
        <f t="shared" si="41"/>
        <v>12.3581858547019</v>
      </c>
      <c r="F10221" s="12">
        <f t="shared" si="46"/>
        <v>150.9</v>
      </c>
      <c r="G10221" s="12">
        <f t="shared" si="47"/>
        <v>19.3786833308936</v>
      </c>
      <c r="H10221" s="12">
        <f t="shared" si="48"/>
        <v>23.4590061412705</v>
      </c>
      <c r="I10221" s="12">
        <f t="shared" si="49"/>
        <v>150.9</v>
      </c>
      <c r="J10221" s="12">
        <f t="shared" si="50"/>
        <v>19.3786833308936</v>
      </c>
      <c r="K10221" s="12">
        <f t="shared" si="51"/>
        <v>23.4590061412705</v>
      </c>
    </row>
    <row r="10222" spans="1:11">
      <c r="A10222">
        <f t="shared" si="52"/>
        <v>221</v>
      </c>
      <c r="B10222">
        <f t="shared" si="40"/>
        <v>10.6793562966584</v>
      </c>
      <c r="C10222">
        <f t="shared" si="41"/>
        <v>12.1591145651424</v>
      </c>
      <c r="F10222" s="12">
        <f t="shared" si="46"/>
        <v>150.975</v>
      </c>
      <c r="G10222" s="12">
        <f t="shared" si="47"/>
        <v>19.3767757426434</v>
      </c>
      <c r="H10222" s="12">
        <f t="shared" si="48"/>
        <v>23.4555735967708</v>
      </c>
      <c r="I10222" s="12">
        <f t="shared" si="49"/>
        <v>150.975</v>
      </c>
      <c r="J10222" s="12">
        <f t="shared" si="50"/>
        <v>19.3767757426434</v>
      </c>
      <c r="K10222" s="12">
        <f t="shared" si="51"/>
        <v>23.4555735967708</v>
      </c>
    </row>
    <row r="10223" spans="1:11">
      <c r="A10223">
        <f t="shared" si="52"/>
        <v>222</v>
      </c>
      <c r="B10223">
        <f t="shared" si="40"/>
        <v>10.8528276178391</v>
      </c>
      <c r="C10223">
        <f t="shared" si="41"/>
        <v>11.9630409046171</v>
      </c>
      <c r="F10223" s="12">
        <f t="shared" si="46"/>
        <v>151.05</v>
      </c>
      <c r="G10223" s="12">
        <f t="shared" si="47"/>
        <v>19.3748726492165</v>
      </c>
      <c r="H10223" s="12">
        <f t="shared" si="48"/>
        <v>23.4521385581854</v>
      </c>
      <c r="I10223" s="12">
        <f t="shared" si="49"/>
        <v>151.05</v>
      </c>
      <c r="J10223" s="12">
        <f t="shared" si="50"/>
        <v>19.3748726492165</v>
      </c>
      <c r="K10223" s="12">
        <f t="shared" si="51"/>
        <v>23.4521385581854</v>
      </c>
    </row>
    <row r="10224" spans="1:11">
      <c r="A10224">
        <f t="shared" si="52"/>
        <v>223</v>
      </c>
      <c r="B10224">
        <f t="shared" si="40"/>
        <v>11.0296944757124</v>
      </c>
      <c r="C10224">
        <f t="shared" si="41"/>
        <v>11.7700245990625</v>
      </c>
      <c r="F10224" s="12">
        <f t="shared" si="46"/>
        <v>151.125</v>
      </c>
      <c r="G10224" s="12">
        <f t="shared" si="47"/>
        <v>19.3729740538738</v>
      </c>
      <c r="H10224" s="12">
        <f t="shared" si="48"/>
        <v>23.4487010314001</v>
      </c>
      <c r="I10224" s="12">
        <f t="shared" si="49"/>
        <v>151.125</v>
      </c>
      <c r="J10224" s="12">
        <f t="shared" si="50"/>
        <v>19.3729740538738</v>
      </c>
      <c r="K10224" s="12">
        <f t="shared" si="51"/>
        <v>23.4487010314001</v>
      </c>
    </row>
    <row r="10225" spans="1:11">
      <c r="A10225">
        <f t="shared" si="52"/>
        <v>224</v>
      </c>
      <c r="B10225">
        <f t="shared" si="40"/>
        <v>11.2099029949202</v>
      </c>
      <c r="C10225">
        <f t="shared" si="41"/>
        <v>11.580124443115</v>
      </c>
      <c r="F10225" s="12">
        <f t="shared" si="46"/>
        <v>151.2</v>
      </c>
      <c r="G10225" s="12">
        <f t="shared" si="47"/>
        <v>19.3710799598684</v>
      </c>
      <c r="H10225" s="12">
        <f t="shared" si="48"/>
        <v>23.4452610223052</v>
      </c>
      <c r="I10225" s="12">
        <f t="shared" si="49"/>
        <v>151.2</v>
      </c>
      <c r="J10225" s="12">
        <f t="shared" si="50"/>
        <v>19.3710799598684</v>
      </c>
      <c r="K10225" s="12">
        <f t="shared" si="51"/>
        <v>23.4452610223052</v>
      </c>
    </row>
    <row r="10226" spans="1:11">
      <c r="A10226">
        <f t="shared" si="52"/>
        <v>225</v>
      </c>
      <c r="B10226">
        <f t="shared" si="40"/>
        <v>11.3933982822018</v>
      </c>
      <c r="C10226">
        <f t="shared" si="41"/>
        <v>11.3933982822018</v>
      </c>
      <c r="F10226" s="12">
        <f t="shared" si="46"/>
        <v>151.275</v>
      </c>
      <c r="G10226" s="12">
        <f t="shared" si="47"/>
        <v>19.3691903704458</v>
      </c>
      <c r="H10226" s="12">
        <f t="shared" si="48"/>
        <v>23.4418185367948</v>
      </c>
      <c r="I10226" s="12">
        <f t="shared" si="49"/>
        <v>151.275</v>
      </c>
      <c r="J10226" s="12">
        <f t="shared" si="50"/>
        <v>19.3691903704458</v>
      </c>
      <c r="K10226" s="12">
        <f t="shared" si="51"/>
        <v>23.4418185367948</v>
      </c>
    </row>
    <row r="10227" spans="1:11">
      <c r="A10227">
        <f t="shared" si="52"/>
        <v>226</v>
      </c>
      <c r="B10227">
        <f t="shared" si="40"/>
        <v>11.580124443115</v>
      </c>
      <c r="C10227">
        <f t="shared" si="41"/>
        <v>11.2099029949202</v>
      </c>
      <c r="F10227" s="12">
        <f t="shared" si="46"/>
        <v>151.35</v>
      </c>
      <c r="G10227" s="12">
        <f t="shared" si="47"/>
        <v>19.3673052888439</v>
      </c>
      <c r="H10227" s="12">
        <f t="shared" si="48"/>
        <v>23.4383735807677</v>
      </c>
      <c r="I10227" s="12">
        <f t="shared" si="49"/>
        <v>151.35</v>
      </c>
      <c r="J10227" s="12">
        <f t="shared" si="50"/>
        <v>19.3673052888439</v>
      </c>
      <c r="K10227" s="12">
        <f t="shared" si="51"/>
        <v>23.4383735807677</v>
      </c>
    </row>
    <row r="10228" spans="1:11">
      <c r="A10228">
        <f t="shared" si="52"/>
        <v>227</v>
      </c>
      <c r="B10228">
        <f t="shared" si="40"/>
        <v>11.7700245990625</v>
      </c>
      <c r="C10228">
        <f t="shared" si="41"/>
        <v>11.0296944757124</v>
      </c>
      <c r="F10228" s="12">
        <f t="shared" si="46"/>
        <v>151.425</v>
      </c>
      <c r="G10228" s="12">
        <f t="shared" si="47"/>
        <v>19.3654247182925</v>
      </c>
      <c r="H10228" s="12">
        <f t="shared" si="48"/>
        <v>23.4349261601267</v>
      </c>
      <c r="I10228" s="12">
        <f t="shared" si="49"/>
        <v>151.425</v>
      </c>
      <c r="J10228" s="12">
        <f t="shared" si="50"/>
        <v>19.3654247182925</v>
      </c>
      <c r="K10228" s="12">
        <f t="shared" si="51"/>
        <v>23.4349261601267</v>
      </c>
    </row>
    <row r="10229" spans="1:11">
      <c r="A10229">
        <f t="shared" si="52"/>
        <v>228</v>
      </c>
      <c r="B10229">
        <f t="shared" si="40"/>
        <v>11.9630409046171</v>
      </c>
      <c r="C10229">
        <f t="shared" si="41"/>
        <v>10.8528276178391</v>
      </c>
      <c r="F10229" s="12">
        <f t="shared" si="46"/>
        <v>151.5</v>
      </c>
      <c r="G10229" s="12">
        <f t="shared" si="47"/>
        <v>19.3635486620141</v>
      </c>
      <c r="H10229" s="12">
        <f t="shared" si="48"/>
        <v>23.4314762807788</v>
      </c>
      <c r="I10229" s="12">
        <f t="shared" si="49"/>
        <v>151.5</v>
      </c>
      <c r="J10229" s="12">
        <f t="shared" si="50"/>
        <v>19.3635486620141</v>
      </c>
      <c r="K10229" s="12">
        <f t="shared" si="51"/>
        <v>23.4314762807788</v>
      </c>
    </row>
    <row r="10230" spans="1:11">
      <c r="A10230">
        <f t="shared" si="52"/>
        <v>229</v>
      </c>
      <c r="B10230">
        <f t="shared" si="40"/>
        <v>12.1591145651424</v>
      </c>
      <c r="C10230">
        <f t="shared" si="41"/>
        <v>10.6793562966584</v>
      </c>
      <c r="F10230" s="12">
        <f t="shared" si="46"/>
        <v>151.575</v>
      </c>
      <c r="G10230" s="12">
        <f t="shared" si="47"/>
        <v>19.3616771232232</v>
      </c>
      <c r="H10230" s="12">
        <f t="shared" si="48"/>
        <v>23.4280239486354</v>
      </c>
      <c r="I10230" s="12">
        <f t="shared" si="49"/>
        <v>151.575</v>
      </c>
      <c r="J10230" s="12">
        <f t="shared" si="50"/>
        <v>19.3616771232232</v>
      </c>
      <c r="K10230" s="12">
        <f t="shared" si="51"/>
        <v>23.4280239486354</v>
      </c>
    </row>
    <row r="10231" spans="1:11">
      <c r="A10231">
        <f t="shared" si="52"/>
        <v>230</v>
      </c>
      <c r="B10231">
        <f t="shared" si="40"/>
        <v>12.3581858547019</v>
      </c>
      <c r="C10231">
        <f t="shared" si="41"/>
        <v>10.5093333532153</v>
      </c>
      <c r="F10231" s="12">
        <f t="shared" si="46"/>
        <v>151.65</v>
      </c>
      <c r="G10231" s="12">
        <f t="shared" si="47"/>
        <v>19.3598101051266</v>
      </c>
      <c r="H10231" s="12">
        <f t="shared" si="48"/>
        <v>23.4245691696118</v>
      </c>
      <c r="I10231" s="12">
        <f t="shared" si="49"/>
        <v>151.65</v>
      </c>
      <c r="J10231" s="12">
        <f t="shared" si="50"/>
        <v>19.3598101051266</v>
      </c>
      <c r="K10231" s="12">
        <f t="shared" si="51"/>
        <v>23.4245691696118</v>
      </c>
    </row>
    <row r="10232" spans="1:11">
      <c r="A10232">
        <f t="shared" si="52"/>
        <v>231</v>
      </c>
      <c r="B10232">
        <f t="shared" si="40"/>
        <v>12.5601941342524</v>
      </c>
      <c r="C10232">
        <f t="shared" si="41"/>
        <v>10.3428105781454</v>
      </c>
      <c r="F10232" s="12">
        <f t="shared" si="46"/>
        <v>151.725</v>
      </c>
      <c r="G10232" s="12">
        <f t="shared" si="47"/>
        <v>19.3579476109234</v>
      </c>
      <c r="H10232" s="12">
        <f t="shared" si="48"/>
        <v>23.4211119496278</v>
      </c>
      <c r="I10232" s="12">
        <f t="shared" si="49"/>
        <v>151.725</v>
      </c>
      <c r="J10232" s="12">
        <f t="shared" si="50"/>
        <v>19.3579476109234</v>
      </c>
      <c r="K10232" s="12">
        <f t="shared" si="51"/>
        <v>23.4211119496278</v>
      </c>
    </row>
    <row r="10233" spans="1:11">
      <c r="A10233">
        <f t="shared" si="52"/>
        <v>232</v>
      </c>
      <c r="B10233">
        <f t="shared" si="40"/>
        <v>12.7650778701151</v>
      </c>
      <c r="C10233">
        <f t="shared" si="41"/>
        <v>10.1798386958992</v>
      </c>
      <c r="F10233" s="12">
        <f t="shared" si="46"/>
        <v>151.8</v>
      </c>
      <c r="G10233" s="12">
        <f t="shared" si="47"/>
        <v>19.356089643805</v>
      </c>
      <c r="H10233" s="12">
        <f t="shared" si="48"/>
        <v>23.4176522946072</v>
      </c>
      <c r="I10233" s="12">
        <f t="shared" si="49"/>
        <v>151.8</v>
      </c>
      <c r="J10233" s="12">
        <f t="shared" si="50"/>
        <v>19.356089643805</v>
      </c>
      <c r="K10233" s="12">
        <f t="shared" si="51"/>
        <v>23.4176522946072</v>
      </c>
    </row>
    <row r="10234" spans="1:11">
      <c r="A10234">
        <f t="shared" si="52"/>
        <v>233</v>
      </c>
      <c r="B10234">
        <f t="shared" si="40"/>
        <v>12.9727746527193</v>
      </c>
      <c r="C10234">
        <f t="shared" si="41"/>
        <v>10.0204673492906</v>
      </c>
      <c r="F10234" s="12">
        <f t="shared" si="46"/>
        <v>151.875</v>
      </c>
      <c r="G10234" s="12">
        <f t="shared" si="47"/>
        <v>19.3542362069549</v>
      </c>
      <c r="H10234" s="12">
        <f t="shared" si="48"/>
        <v>23.414190210478</v>
      </c>
      <c r="I10234" s="12">
        <f t="shared" si="49"/>
        <v>151.875</v>
      </c>
      <c r="J10234" s="12">
        <f t="shared" si="50"/>
        <v>19.3542362069549</v>
      </c>
      <c r="K10234" s="12">
        <f t="shared" si="51"/>
        <v>23.414190210478</v>
      </c>
    </row>
    <row r="10235" spans="1:11">
      <c r="A10235">
        <f t="shared" si="52"/>
        <v>234</v>
      </c>
      <c r="B10235">
        <f t="shared" si="40"/>
        <v>13.1832212156129</v>
      </c>
      <c r="C10235">
        <f t="shared" si="41"/>
        <v>9.86474508437579</v>
      </c>
      <c r="F10235" s="12">
        <f t="shared" si="46"/>
        <v>151.95</v>
      </c>
      <c r="G10235" s="12">
        <f t="shared" si="47"/>
        <v>19.352387303549</v>
      </c>
      <c r="H10235" s="12">
        <f t="shared" si="48"/>
        <v>23.4107257031725</v>
      </c>
      <c r="I10235" s="12">
        <f t="shared" si="49"/>
        <v>151.95</v>
      </c>
      <c r="J10235" s="12">
        <f t="shared" si="50"/>
        <v>19.352387303549</v>
      </c>
      <c r="K10235" s="12">
        <f t="shared" si="51"/>
        <v>23.4107257031725</v>
      </c>
    </row>
    <row r="10236" spans="1:11">
      <c r="A10236">
        <f t="shared" si="52"/>
        <v>235</v>
      </c>
      <c r="B10236">
        <f t="shared" si="40"/>
        <v>13.3963534547343</v>
      </c>
      <c r="C10236">
        <f t="shared" si="41"/>
        <v>9.71271933566513</v>
      </c>
      <c r="F10236" s="12">
        <f t="shared" si="46"/>
        <v>152.025</v>
      </c>
      <c r="G10236" s="12">
        <f t="shared" si="47"/>
        <v>19.3505429367552</v>
      </c>
      <c r="H10236" s="12">
        <f t="shared" si="48"/>
        <v>23.4072587786269</v>
      </c>
      <c r="I10236" s="12">
        <f t="shared" si="49"/>
        <v>152.025</v>
      </c>
      <c r="J10236" s="12">
        <f t="shared" si="50"/>
        <v>19.3505429367552</v>
      </c>
      <c r="K10236" s="12">
        <f t="shared" si="51"/>
        <v>23.4072587786269</v>
      </c>
    </row>
    <row r="10237" spans="1:11">
      <c r="A10237">
        <f t="shared" si="52"/>
        <v>236</v>
      </c>
      <c r="B10237">
        <f t="shared" si="40"/>
        <v>13.6121064479388</v>
      </c>
      <c r="C10237">
        <f t="shared" si="41"/>
        <v>9.56443641167438</v>
      </c>
      <c r="F10237" s="12">
        <f t="shared" si="46"/>
        <v>152.1</v>
      </c>
      <c r="G10237" s="12">
        <f t="shared" si="47"/>
        <v>19.3487031097339</v>
      </c>
      <c r="H10237" s="12">
        <f t="shared" si="48"/>
        <v>23.4037894427817</v>
      </c>
      <c r="I10237" s="12">
        <f t="shared" si="49"/>
        <v>152.1</v>
      </c>
      <c r="J10237" s="12">
        <f t="shared" si="50"/>
        <v>19.3487031097339</v>
      </c>
      <c r="K10237" s="12">
        <f t="shared" si="51"/>
        <v>23.4037894427817</v>
      </c>
    </row>
    <row r="10238" spans="1:11">
      <c r="A10238">
        <f t="shared" si="52"/>
        <v>237</v>
      </c>
      <c r="B10238">
        <f t="shared" si="40"/>
        <v>13.8304144747746</v>
      </c>
      <c r="C10238">
        <f t="shared" si="41"/>
        <v>9.41994148081864</v>
      </c>
      <c r="F10238" s="12">
        <f t="shared" si="46"/>
        <v>152.175</v>
      </c>
      <c r="G10238" s="12">
        <f t="shared" si="47"/>
        <v>19.3468678256376</v>
      </c>
      <c r="H10238" s="12">
        <f t="shared" si="48"/>
        <v>23.4003177015816</v>
      </c>
      <c r="I10238" s="12">
        <f t="shared" si="49"/>
        <v>152.175</v>
      </c>
      <c r="J10238" s="12">
        <f t="shared" si="50"/>
        <v>19.3468678256376</v>
      </c>
      <c r="K10238" s="12">
        <f t="shared" si="51"/>
        <v>23.4003177015816</v>
      </c>
    </row>
    <row r="10239" spans="1:11">
      <c r="A10239">
        <f t="shared" si="52"/>
        <v>238</v>
      </c>
      <c r="B10239">
        <f t="shared" si="40"/>
        <v>14.0512110365019</v>
      </c>
      <c r="C10239">
        <f t="shared" si="41"/>
        <v>9.27927855765361</v>
      </c>
      <c r="F10239" s="12">
        <f t="shared" si="46"/>
        <v>152.25</v>
      </c>
      <c r="G10239" s="12">
        <f t="shared" si="47"/>
        <v>19.3450370876109</v>
      </c>
      <c r="H10239" s="12">
        <f t="shared" si="48"/>
        <v>23.3968435609753</v>
      </c>
      <c r="I10239" s="12">
        <f t="shared" si="49"/>
        <v>152.25</v>
      </c>
      <c r="J10239" s="12">
        <f t="shared" si="50"/>
        <v>19.3450370876109</v>
      </c>
      <c r="K10239" s="12">
        <f t="shared" si="51"/>
        <v>23.3968435609753</v>
      </c>
    </row>
    <row r="10240" spans="1:11">
      <c r="A10240">
        <f t="shared" si="52"/>
        <v>239</v>
      </c>
      <c r="B10240">
        <f t="shared" si="40"/>
        <v>14.2744288763492</v>
      </c>
      <c r="C10240">
        <f t="shared" si="41"/>
        <v>9.14249048946832</v>
      </c>
      <c r="F10240" s="12">
        <f t="shared" si="46"/>
        <v>152.325</v>
      </c>
      <c r="G10240" s="12">
        <f t="shared" si="47"/>
        <v>19.3432108987908</v>
      </c>
      <c r="H10240" s="12">
        <f t="shared" si="48"/>
        <v>23.3933670269157</v>
      </c>
      <c r="I10240" s="12">
        <f t="shared" si="49"/>
        <v>152.325</v>
      </c>
      <c r="J10240" s="12">
        <f t="shared" si="50"/>
        <v>19.3432108987908</v>
      </c>
      <c r="K10240" s="12">
        <f t="shared" si="51"/>
        <v>23.3933670269157</v>
      </c>
    </row>
    <row r="10241" spans="1:11">
      <c r="A10241">
        <f t="shared" si="52"/>
        <v>240</v>
      </c>
      <c r="B10241">
        <f t="shared" si="40"/>
        <v>14.5</v>
      </c>
      <c r="C10241">
        <f t="shared" si="41"/>
        <v>9.00961894323342</v>
      </c>
      <c r="F10241" s="12">
        <f t="shared" si="46"/>
        <v>152.4</v>
      </c>
      <c r="G10241" s="12">
        <f t="shared" si="47"/>
        <v>19.3413892623064</v>
      </c>
      <c r="H10241" s="12">
        <f t="shared" si="48"/>
        <v>23.3898881053596</v>
      </c>
      <c r="I10241" s="12">
        <f t="shared" si="49"/>
        <v>152.4</v>
      </c>
      <c r="J10241" s="12">
        <f t="shared" si="50"/>
        <v>19.3413892623064</v>
      </c>
      <c r="K10241" s="12">
        <f t="shared" si="51"/>
        <v>23.3898881053596</v>
      </c>
    </row>
    <row r="10242" spans="1:11">
      <c r="A10242">
        <f t="shared" si="52"/>
        <v>241</v>
      </c>
      <c r="B10242">
        <f t="shared" si="40"/>
        <v>14.7278556963049</v>
      </c>
      <c r="C10242">
        <f t="shared" si="41"/>
        <v>8.88070439290907</v>
      </c>
      <c r="F10242" s="12">
        <f t="shared" ref="F10242:F10273" si="53">MOD(F10241-$E$10006*$H$10207,360)</f>
        <v>152.475</v>
      </c>
      <c r="G10242" s="12">
        <f t="shared" si="47"/>
        <v>19.339572181279</v>
      </c>
      <c r="H10242" s="12">
        <f t="shared" si="48"/>
        <v>23.3864068022681</v>
      </c>
      <c r="I10242" s="12">
        <f t="shared" ref="I10242:I10273" si="54">MOD(I10241-$E$10006*$K$10207,360)</f>
        <v>152.475</v>
      </c>
      <c r="J10242" s="12">
        <f t="shared" si="50"/>
        <v>19.339572181279</v>
      </c>
      <c r="K10242" s="12">
        <f t="shared" si="51"/>
        <v>23.3864068022681</v>
      </c>
    </row>
    <row r="10243" spans="1:11">
      <c r="A10243">
        <f t="shared" si="52"/>
        <v>242</v>
      </c>
      <c r="B10243">
        <f t="shared" si="40"/>
        <v>14.9579265582116</v>
      </c>
      <c r="C10243">
        <f t="shared" si="41"/>
        <v>8.75578610711609</v>
      </c>
      <c r="F10243" s="12">
        <f t="shared" si="53"/>
        <v>152.55</v>
      </c>
      <c r="G10243" s="12">
        <f t="shared" si="47"/>
        <v>19.3377596588222</v>
      </c>
      <c r="H10243" s="12">
        <f t="shared" si="48"/>
        <v>23.3829231236064</v>
      </c>
      <c r="I10243" s="12">
        <f t="shared" si="54"/>
        <v>152.55</v>
      </c>
      <c r="J10243" s="12">
        <f t="shared" si="50"/>
        <v>19.3377596588222</v>
      </c>
      <c r="K10243" s="12">
        <f t="shared" si="51"/>
        <v>23.3829231236064</v>
      </c>
    </row>
    <row r="10244" spans="1:11">
      <c r="A10244">
        <f t="shared" si="52"/>
        <v>243</v>
      </c>
      <c r="B10244">
        <f t="shared" si="40"/>
        <v>15.1901425039068</v>
      </c>
      <c r="C10244">
        <f t="shared" si="41"/>
        <v>8.63490213717448</v>
      </c>
      <c r="F10244" s="12">
        <f t="shared" si="53"/>
        <v>152.625</v>
      </c>
      <c r="G10244" s="12">
        <f t="shared" si="47"/>
        <v>19.3359516980416</v>
      </c>
      <c r="H10244" s="12">
        <f t="shared" si="48"/>
        <v>23.3794370753436</v>
      </c>
      <c r="I10244" s="12">
        <f t="shared" si="54"/>
        <v>152.625</v>
      </c>
      <c r="J10244" s="12">
        <f t="shared" si="50"/>
        <v>19.3359516980416</v>
      </c>
      <c r="K10244" s="12">
        <f t="shared" si="51"/>
        <v>23.3794370753436</v>
      </c>
    </row>
    <row r="10245" spans="1:11">
      <c r="A10245">
        <f t="shared" si="52"/>
        <v>244</v>
      </c>
      <c r="B10245">
        <f t="shared" si="40"/>
        <v>15.4244327981638</v>
      </c>
      <c r="C10245">
        <f t="shared" si="41"/>
        <v>8.5180893055125</v>
      </c>
      <c r="F10245" s="12">
        <f t="shared" si="53"/>
        <v>152.7</v>
      </c>
      <c r="G10245" s="12">
        <f t="shared" si="47"/>
        <v>19.3341483020352</v>
      </c>
      <c r="H10245" s="12">
        <f t="shared" si="48"/>
        <v>23.375948663453</v>
      </c>
      <c r="I10245" s="12">
        <f t="shared" si="54"/>
        <v>152.7</v>
      </c>
      <c r="J10245" s="12">
        <f t="shared" si="50"/>
        <v>19.3341483020352</v>
      </c>
      <c r="K10245" s="12">
        <f t="shared" si="51"/>
        <v>23.375948663453</v>
      </c>
    </row>
    <row r="10246" spans="1:11">
      <c r="A10246">
        <f t="shared" si="52"/>
        <v>245</v>
      </c>
      <c r="B10246">
        <f t="shared" si="40"/>
        <v>15.6607260738895</v>
      </c>
      <c r="C10246">
        <f t="shared" si="41"/>
        <v>8.40538319445025</v>
      </c>
      <c r="F10246" s="12">
        <f t="shared" si="53"/>
        <v>152.775</v>
      </c>
      <c r="G10246" s="12">
        <f t="shared" si="47"/>
        <v>19.332349473893</v>
      </c>
      <c r="H10246" s="12">
        <f t="shared" si="48"/>
        <v>23.3724578939118</v>
      </c>
      <c r="I10246" s="12">
        <f t="shared" si="54"/>
        <v>152.775</v>
      </c>
      <c r="J10246" s="12">
        <f t="shared" si="50"/>
        <v>19.332349473893</v>
      </c>
      <c r="K10246" s="12">
        <f t="shared" si="51"/>
        <v>23.3724578939118</v>
      </c>
    </row>
    <row r="10247" spans="1:11">
      <c r="A10247">
        <f t="shared" si="52"/>
        <v>246</v>
      </c>
      <c r="B10247">
        <f t="shared" si="40"/>
        <v>15.898950353863</v>
      </c>
      <c r="C10247">
        <f t="shared" si="41"/>
        <v>8.29681813536098</v>
      </c>
      <c r="F10247" s="12">
        <f t="shared" si="53"/>
        <v>152.85</v>
      </c>
      <c r="G10247" s="12">
        <f t="shared" si="47"/>
        <v>19.3305552166972</v>
      </c>
      <c r="H10247" s="12">
        <f t="shared" si="48"/>
        <v>23.3689647727014</v>
      </c>
      <c r="I10247" s="12">
        <f t="shared" si="54"/>
        <v>152.85</v>
      </c>
      <c r="J10247" s="12">
        <f t="shared" si="50"/>
        <v>19.3305552166972</v>
      </c>
      <c r="K10247" s="12">
        <f t="shared" si="51"/>
        <v>23.3689647727014</v>
      </c>
    </row>
    <row r="10248" spans="1:11">
      <c r="A10248">
        <f t="shared" si="52"/>
        <v>247</v>
      </c>
      <c r="B10248">
        <f t="shared" si="40"/>
        <v>16.1390330726609</v>
      </c>
      <c r="C10248">
        <f t="shared" si="41"/>
        <v>8.1924271982134</v>
      </c>
      <c r="F10248" s="12">
        <f t="shared" si="53"/>
        <v>152.925</v>
      </c>
      <c r="G10248" s="12">
        <f t="shared" si="47"/>
        <v>19.3287655335223</v>
      </c>
      <c r="H10248" s="12">
        <f t="shared" si="48"/>
        <v>23.3654693058073</v>
      </c>
      <c r="I10248" s="12">
        <f t="shared" si="54"/>
        <v>152.925</v>
      </c>
      <c r="J10248" s="12">
        <f t="shared" si="50"/>
        <v>19.3287655335223</v>
      </c>
      <c r="K10248" s="12">
        <f t="shared" si="51"/>
        <v>23.3654693058073</v>
      </c>
    </row>
    <row r="10249" spans="1:11">
      <c r="A10249">
        <f t="shared" si="52"/>
        <v>248</v>
      </c>
      <c r="B10249">
        <f t="shared" si="40"/>
        <v>16.3809010987613</v>
      </c>
      <c r="C10249">
        <f t="shared" si="41"/>
        <v>8.09224218149819</v>
      </c>
      <c r="F10249" s="12">
        <f t="shared" si="53"/>
        <v>153</v>
      </c>
      <c r="G10249" s="12">
        <f t="shared" si="47"/>
        <v>19.3269804274349</v>
      </c>
      <c r="H10249" s="12">
        <f t="shared" si="48"/>
        <v>23.3619714992187</v>
      </c>
      <c r="I10249" s="12">
        <f t="shared" si="54"/>
        <v>153</v>
      </c>
      <c r="J10249" s="12">
        <f t="shared" si="50"/>
        <v>19.3269804274349</v>
      </c>
      <c r="K10249" s="12">
        <f t="shared" si="51"/>
        <v>23.3619714992187</v>
      </c>
    </row>
    <row r="10250" spans="1:11">
      <c r="A10250">
        <f t="shared" si="52"/>
        <v>249</v>
      </c>
      <c r="B10250">
        <f t="shared" si="40"/>
        <v>16.6244807568205</v>
      </c>
      <c r="C10250">
        <f t="shared" si="41"/>
        <v>7.99629360254198</v>
      </c>
      <c r="F10250" s="12">
        <f t="shared" si="53"/>
        <v>153.075</v>
      </c>
      <c r="G10250" s="12">
        <f t="shared" si="47"/>
        <v>19.3251999014937</v>
      </c>
      <c r="H10250" s="12">
        <f t="shared" si="48"/>
        <v>23.358471358929</v>
      </c>
      <c r="I10250" s="12">
        <f t="shared" si="54"/>
        <v>153.075</v>
      </c>
      <c r="J10250" s="12">
        <f t="shared" si="50"/>
        <v>19.3251999014937</v>
      </c>
      <c r="K10250" s="12">
        <f t="shared" si="51"/>
        <v>23.358471358929</v>
      </c>
    </row>
    <row r="10251" spans="1:11">
      <c r="A10251">
        <f t="shared" si="52"/>
        <v>250</v>
      </c>
      <c r="B10251">
        <f t="shared" si="40"/>
        <v>16.869697850115</v>
      </c>
      <c r="C10251">
        <f t="shared" si="41"/>
        <v>7.90461068821138</v>
      </c>
      <c r="F10251" s="12">
        <f t="shared" si="53"/>
        <v>153.15</v>
      </c>
      <c r="G10251" s="12">
        <f t="shared" si="47"/>
        <v>19.3234239587495</v>
      </c>
      <c r="H10251" s="12">
        <f t="shared" si="48"/>
        <v>23.3549688909357</v>
      </c>
      <c r="I10251" s="12">
        <f t="shared" si="54"/>
        <v>153.15</v>
      </c>
      <c r="J10251" s="12">
        <f t="shared" si="50"/>
        <v>19.3234239587495</v>
      </c>
      <c r="K10251" s="12">
        <f t="shared" si="51"/>
        <v>23.3549688909357</v>
      </c>
    </row>
    <row r="10252" spans="1:11">
      <c r="A10252">
        <f t="shared" si="52"/>
        <v>251</v>
      </c>
      <c r="B10252">
        <f t="shared" si="40"/>
        <v>17.1164776831427</v>
      </c>
      <c r="C10252">
        <f t="shared" si="41"/>
        <v>7.81722136601025</v>
      </c>
      <c r="F10252" s="12">
        <f t="shared" si="53"/>
        <v>153.225</v>
      </c>
      <c r="G10252" s="12">
        <f t="shared" si="47"/>
        <v>19.3216526022454</v>
      </c>
      <c r="H10252" s="12">
        <f t="shared" si="48"/>
        <v>23.3514641012402</v>
      </c>
      <c r="I10252" s="12">
        <f t="shared" si="54"/>
        <v>153.225</v>
      </c>
      <c r="J10252" s="12">
        <f t="shared" si="50"/>
        <v>19.3216526022454</v>
      </c>
      <c r="K10252" s="12">
        <f t="shared" si="51"/>
        <v>23.3514641012402</v>
      </c>
    </row>
    <row r="10253" spans="1:11">
      <c r="A10253">
        <f t="shared" si="52"/>
        <v>252</v>
      </c>
      <c r="B10253">
        <f t="shared" si="40"/>
        <v>17.3647450843758</v>
      </c>
      <c r="C10253">
        <f t="shared" si="41"/>
        <v>7.7341522555727</v>
      </c>
      <c r="F10253" s="12">
        <f t="shared" si="53"/>
        <v>153.299999999999</v>
      </c>
      <c r="G10253" s="12">
        <f t="shared" si="47"/>
        <v>19.3198858350165</v>
      </c>
      <c r="H10253" s="12">
        <f t="shared" si="48"/>
        <v>23.3479569958477</v>
      </c>
      <c r="I10253" s="12">
        <f t="shared" si="54"/>
        <v>153.299999999999</v>
      </c>
      <c r="J10253" s="12">
        <f t="shared" si="50"/>
        <v>19.3198858350165</v>
      </c>
      <c r="K10253" s="12">
        <f t="shared" si="51"/>
        <v>23.3479569958477</v>
      </c>
    </row>
    <row r="10254" spans="1:11">
      <c r="A10254">
        <f t="shared" si="52"/>
        <v>253</v>
      </c>
      <c r="B10254">
        <f t="shared" si="40"/>
        <v>17.6144244291589</v>
      </c>
      <c r="C10254">
        <f t="shared" si="41"/>
        <v>7.65542866055447</v>
      </c>
      <c r="F10254" s="12">
        <f t="shared" si="53"/>
        <v>153.374999999999</v>
      </c>
      <c r="G10254" s="12">
        <f t="shared" si="47"/>
        <v>19.3181236600902</v>
      </c>
      <c r="H10254" s="12">
        <f t="shared" si="48"/>
        <v>23.3444475807677</v>
      </c>
      <c r="I10254" s="12">
        <f t="shared" si="54"/>
        <v>153.374999999999</v>
      </c>
      <c r="J10254" s="12">
        <f t="shared" si="50"/>
        <v>19.3181236600902</v>
      </c>
      <c r="K10254" s="12">
        <f t="shared" si="51"/>
        <v>23.3444475807677</v>
      </c>
    </row>
    <row r="10255" spans="1:11">
      <c r="A10255">
        <f t="shared" si="52"/>
        <v>254</v>
      </c>
      <c r="B10255">
        <f t="shared" si="40"/>
        <v>17.865439662745</v>
      </c>
      <c r="C10255">
        <f t="shared" si="41"/>
        <v>7.58107456092521</v>
      </c>
      <c r="F10255" s="12">
        <f t="shared" si="53"/>
        <v>153.449999999999</v>
      </c>
      <c r="G10255" s="12">
        <f t="shared" si="47"/>
        <v>19.3163660804859</v>
      </c>
      <c r="H10255" s="12">
        <f t="shared" si="48"/>
        <v>23.3409358620134</v>
      </c>
      <c r="I10255" s="12">
        <f t="shared" si="54"/>
        <v>153.449999999999</v>
      </c>
      <c r="J10255" s="12">
        <f t="shared" si="50"/>
        <v>19.3163660804859</v>
      </c>
      <c r="K10255" s="12">
        <f t="shared" si="51"/>
        <v>23.3409358620134</v>
      </c>
    </row>
    <row r="10256" spans="1:11">
      <c r="A10256">
        <f t="shared" si="52"/>
        <v>255</v>
      </c>
      <c r="B10256">
        <f t="shared" si="40"/>
        <v>18.1177143234622</v>
      </c>
      <c r="C10256">
        <f t="shared" si="41"/>
        <v>7.51111260566397</v>
      </c>
      <c r="F10256" s="12">
        <f t="shared" si="53"/>
        <v>153.524999999999</v>
      </c>
      <c r="G10256" s="12">
        <f t="shared" si="47"/>
        <v>19.3146130992152</v>
      </c>
      <c r="H10256" s="12">
        <f t="shared" si="48"/>
        <v>23.337421845602</v>
      </c>
      <c r="I10256" s="12">
        <f t="shared" si="54"/>
        <v>153.524999999999</v>
      </c>
      <c r="J10256" s="12">
        <f t="shared" si="50"/>
        <v>19.3146130992152</v>
      </c>
      <c r="K10256" s="12">
        <f t="shared" si="51"/>
        <v>23.337421845602</v>
      </c>
    </row>
    <row r="10257" spans="1:11">
      <c r="A10257">
        <f t="shared" si="52"/>
        <v>256</v>
      </c>
      <c r="B10257">
        <f t="shared" ref="B10257:B10320" si="55">COS(A10257/180*PI())*$E$10001+$E$10002</f>
        <v>18.371171566005</v>
      </c>
      <c r="C10257">
        <f t="shared" ref="C10257:C10320" si="56">SIN(A10257/180*PI())*$E$10001+$E$10003</f>
        <v>7.44556410586005</v>
      </c>
      <c r="F10257" s="12">
        <f t="shared" si="53"/>
        <v>153.599999999999</v>
      </c>
      <c r="G10257" s="12">
        <f t="shared" si="47"/>
        <v>19.3128647192818</v>
      </c>
      <c r="H10257" s="12">
        <f t="shared" si="48"/>
        <v>23.3339055375548</v>
      </c>
      <c r="I10257" s="12">
        <f t="shared" si="54"/>
        <v>153.599999999999</v>
      </c>
      <c r="J10257" s="12">
        <f t="shared" si="50"/>
        <v>19.3128647192818</v>
      </c>
      <c r="K10257" s="12">
        <f t="shared" si="51"/>
        <v>23.3339055375548</v>
      </c>
    </row>
    <row r="10258" spans="1:11">
      <c r="A10258">
        <f t="shared" si="52"/>
        <v>257</v>
      </c>
      <c r="B10258">
        <f t="shared" si="55"/>
        <v>18.625734184842</v>
      </c>
      <c r="C10258">
        <f t="shared" si="56"/>
        <v>7.38444902822147</v>
      </c>
      <c r="F10258" s="12">
        <f t="shared" si="53"/>
        <v>153.674999999999</v>
      </c>
      <c r="G10258" s="12">
        <f t="shared" si="47"/>
        <v>19.3111209436814</v>
      </c>
      <c r="H10258" s="12">
        <f t="shared" si="48"/>
        <v>23.3303869438968</v>
      </c>
      <c r="I10258" s="12">
        <f t="shared" si="54"/>
        <v>153.674999999999</v>
      </c>
      <c r="J10258" s="12">
        <f t="shared" si="50"/>
        <v>19.3111209436814</v>
      </c>
      <c r="K10258" s="12">
        <f t="shared" si="51"/>
        <v>23.3303869438968</v>
      </c>
    </row>
    <row r="10259" spans="1:11">
      <c r="A10259">
        <f t="shared" si="52"/>
        <v>258</v>
      </c>
      <c r="B10259">
        <f t="shared" si="55"/>
        <v>18.8813246377336</v>
      </c>
      <c r="C10259">
        <f t="shared" si="56"/>
        <v>7.32778598899292</v>
      </c>
      <c r="F10259" s="12">
        <f t="shared" si="53"/>
        <v>153.749999999999</v>
      </c>
      <c r="G10259" s="12">
        <f t="shared" si="47"/>
        <v>19.3093817754019</v>
      </c>
      <c r="H10259" s="12">
        <f t="shared" si="48"/>
        <v>23.326866070657</v>
      </c>
      <c r="I10259" s="12">
        <f t="shared" si="54"/>
        <v>153.749999999999</v>
      </c>
      <c r="J10259" s="12">
        <f t="shared" si="50"/>
        <v>19.3093817754019</v>
      </c>
      <c r="K10259" s="12">
        <f t="shared" si="51"/>
        <v>23.326866070657</v>
      </c>
    </row>
    <row r="10260" spans="1:11">
      <c r="A10260">
        <f t="shared" si="52"/>
        <v>259</v>
      </c>
      <c r="B10260">
        <f t="shared" si="55"/>
        <v>19.1378650693518</v>
      </c>
      <c r="C10260">
        <f t="shared" si="56"/>
        <v>7.27559224828504</v>
      </c>
      <c r="F10260" s="12">
        <f t="shared" si="53"/>
        <v>153.824999999999</v>
      </c>
      <c r="G10260" s="12">
        <f t="shared" si="47"/>
        <v>19.3076472174235</v>
      </c>
      <c r="H10260" s="12">
        <f t="shared" si="48"/>
        <v>23.3233429238684</v>
      </c>
      <c r="I10260" s="12">
        <f t="shared" si="54"/>
        <v>153.824999999999</v>
      </c>
      <c r="J10260" s="12">
        <f t="shared" si="50"/>
        <v>19.3076472174235</v>
      </c>
      <c r="K10260" s="12">
        <f t="shared" si="51"/>
        <v>23.3233429238684</v>
      </c>
    </row>
    <row r="10261" spans="1:11">
      <c r="A10261">
        <f t="shared" si="52"/>
        <v>260</v>
      </c>
      <c r="B10261">
        <f t="shared" si="55"/>
        <v>19.395277334996</v>
      </c>
      <c r="C10261">
        <f t="shared" si="56"/>
        <v>7.22788370481688</v>
      </c>
      <c r="F10261" s="12">
        <f t="shared" si="53"/>
        <v>153.899999999999</v>
      </c>
      <c r="G10261" s="12">
        <f t="shared" si="47"/>
        <v>19.3059172727182</v>
      </c>
      <c r="H10261" s="12">
        <f t="shared" si="48"/>
        <v>23.3198175095678</v>
      </c>
      <c r="I10261" s="12">
        <f t="shared" si="54"/>
        <v>153.899999999999</v>
      </c>
      <c r="J10261" s="12">
        <f t="shared" si="50"/>
        <v>19.3059172727182</v>
      </c>
      <c r="K10261" s="12">
        <f t="shared" si="51"/>
        <v>23.3198175095678</v>
      </c>
    </row>
    <row r="10262" spans="1:11">
      <c r="A10262">
        <f t="shared" si="52"/>
        <v>261</v>
      </c>
      <c r="B10262">
        <f t="shared" si="55"/>
        <v>19.6534830243965</v>
      </c>
      <c r="C10262">
        <f t="shared" si="56"/>
        <v>7.18467489107294</v>
      </c>
      <c r="F10262" s="12">
        <f t="shared" si="53"/>
        <v>153.974999999999</v>
      </c>
      <c r="G10262" s="12">
        <f t="shared" si="47"/>
        <v>19.3041919442501</v>
      </c>
      <c r="H10262" s="12">
        <f t="shared" si="48"/>
        <v>23.3162898337958</v>
      </c>
      <c r="I10262" s="12">
        <f t="shared" si="54"/>
        <v>153.974999999999</v>
      </c>
      <c r="J10262" s="12">
        <f t="shared" si="50"/>
        <v>19.3041919442501</v>
      </c>
      <c r="K10262" s="12">
        <f t="shared" si="51"/>
        <v>23.3162898337958</v>
      </c>
    </row>
    <row r="10263" spans="1:11">
      <c r="A10263">
        <f t="shared" si="52"/>
        <v>262</v>
      </c>
      <c r="B10263">
        <f t="shared" si="55"/>
        <v>19.912403485599</v>
      </c>
      <c r="C10263">
        <f t="shared" si="56"/>
        <v>7.14597896887645</v>
      </c>
      <c r="F10263" s="12">
        <f t="shared" si="53"/>
        <v>154.049999999999</v>
      </c>
      <c r="G10263" s="12">
        <f t="shared" si="47"/>
        <v>19.3024712349757</v>
      </c>
      <c r="H10263" s="12">
        <f t="shared" si="48"/>
        <v>23.3127599025971</v>
      </c>
      <c r="I10263" s="12">
        <f t="shared" si="54"/>
        <v>154.049999999999</v>
      </c>
      <c r="J10263" s="12">
        <f t="shared" si="50"/>
        <v>19.3024712349757</v>
      </c>
      <c r="K10263" s="12">
        <f t="shared" si="51"/>
        <v>23.3127599025971</v>
      </c>
    </row>
    <row r="10264" spans="1:11">
      <c r="A10264">
        <f t="shared" si="52"/>
        <v>263</v>
      </c>
      <c r="B10264">
        <f t="shared" si="55"/>
        <v>20.1719598489228</v>
      </c>
      <c r="C10264">
        <f t="shared" si="56"/>
        <v>7.11180772538017</v>
      </c>
      <c r="F10264" s="12">
        <f t="shared" si="53"/>
        <v>154.124999999999</v>
      </c>
      <c r="G10264" s="12">
        <f t="shared" si="47"/>
        <v>19.3007551478434</v>
      </c>
      <c r="H10264" s="12">
        <f t="shared" si="48"/>
        <v>23.3092277220201</v>
      </c>
      <c r="I10264" s="12">
        <f t="shared" si="54"/>
        <v>154.124999999999</v>
      </c>
      <c r="J10264" s="12">
        <f t="shared" si="50"/>
        <v>19.3007551478434</v>
      </c>
      <c r="K10264" s="12">
        <f t="shared" si="51"/>
        <v>23.3092277220201</v>
      </c>
    </row>
    <row r="10265" spans="1:11">
      <c r="A10265">
        <f t="shared" si="52"/>
        <v>264</v>
      </c>
      <c r="B10265">
        <f t="shared" si="55"/>
        <v>20.4320730509852</v>
      </c>
      <c r="C10265">
        <f t="shared" si="56"/>
        <v>7.0821715694759</v>
      </c>
      <c r="F10265" s="12">
        <f t="shared" si="53"/>
        <v>154.199999999999</v>
      </c>
      <c r="G10265" s="12">
        <f t="shared" si="47"/>
        <v>19.2990436857934</v>
      </c>
      <c r="H10265" s="12">
        <f t="shared" si="48"/>
        <v>23.305693298117</v>
      </c>
      <c r="I10265" s="12">
        <f t="shared" si="54"/>
        <v>154.199999999999</v>
      </c>
      <c r="J10265" s="12">
        <f t="shared" si="50"/>
        <v>19.2990436857934</v>
      </c>
      <c r="K10265" s="12">
        <f t="shared" si="51"/>
        <v>23.305693298117</v>
      </c>
    </row>
    <row r="10266" spans="1:11">
      <c r="A10266">
        <f t="shared" si="52"/>
        <v>265</v>
      </c>
      <c r="B10266">
        <f t="shared" si="55"/>
        <v>20.6926638587851</v>
      </c>
      <c r="C10266">
        <f t="shared" si="56"/>
        <v>7.05707952862382</v>
      </c>
      <c r="F10266" s="12">
        <f t="shared" si="53"/>
        <v>154.274999999999</v>
      </c>
      <c r="G10266" s="12">
        <f t="shared" si="47"/>
        <v>19.2973368517585</v>
      </c>
      <c r="H10266" s="12">
        <f t="shared" si="48"/>
        <v>23.3021566369441</v>
      </c>
      <c r="I10266" s="12">
        <f t="shared" si="54"/>
        <v>154.274999999999</v>
      </c>
      <c r="J10266" s="12">
        <f t="shared" si="50"/>
        <v>19.2973368517585</v>
      </c>
      <c r="K10266" s="12">
        <f t="shared" si="51"/>
        <v>23.3021566369441</v>
      </c>
    </row>
    <row r="10267" spans="1:11">
      <c r="A10267">
        <f t="shared" si="52"/>
        <v>266</v>
      </c>
      <c r="B10267">
        <f t="shared" si="55"/>
        <v>20.9536528938381</v>
      </c>
      <c r="C10267">
        <f t="shared" si="56"/>
        <v>7.03653924610264</v>
      </c>
      <c r="F10267" s="12">
        <f t="shared" si="53"/>
        <v>154.349999999999</v>
      </c>
      <c r="G10267" s="12">
        <f t="shared" si="47"/>
        <v>19.2956346486633</v>
      </c>
      <c r="H10267" s="12">
        <f t="shared" si="48"/>
        <v>23.2986177445613</v>
      </c>
      <c r="I10267" s="12">
        <f t="shared" si="54"/>
        <v>154.349999999999</v>
      </c>
      <c r="J10267" s="12">
        <f t="shared" si="50"/>
        <v>19.2956346486633</v>
      </c>
      <c r="K10267" s="12">
        <f t="shared" si="51"/>
        <v>23.2986177445613</v>
      </c>
    </row>
    <row r="10268" spans="1:11">
      <c r="A10268">
        <f t="shared" si="52"/>
        <v>267</v>
      </c>
      <c r="B10268">
        <f t="shared" si="55"/>
        <v>21.2149606563558</v>
      </c>
      <c r="C10268">
        <f t="shared" si="56"/>
        <v>7.02055697868139</v>
      </c>
      <c r="F10268" s="12">
        <f t="shared" si="53"/>
        <v>154.424999999999</v>
      </c>
      <c r="G10268" s="12">
        <f t="shared" si="47"/>
        <v>19.2939370794243</v>
      </c>
      <c r="H10268" s="12">
        <f t="shared" si="48"/>
        <v>23.2950766270323</v>
      </c>
      <c r="I10268" s="12">
        <f t="shared" si="54"/>
        <v>154.424999999999</v>
      </c>
      <c r="J10268" s="12">
        <f t="shared" si="50"/>
        <v>19.2939370794243</v>
      </c>
      <c r="K10268" s="12">
        <f t="shared" si="51"/>
        <v>23.2950766270323</v>
      </c>
    </row>
    <row r="10269" spans="1:11">
      <c r="A10269">
        <f t="shared" si="52"/>
        <v>268</v>
      </c>
      <c r="B10269">
        <f t="shared" si="55"/>
        <v>21.4765075494625</v>
      </c>
      <c r="C10269">
        <f t="shared" si="56"/>
        <v>7.00913759471356</v>
      </c>
      <c r="F10269" s="12">
        <f t="shared" si="53"/>
        <v>154.499999999999</v>
      </c>
      <c r="G10269" s="12">
        <f t="shared" si="47"/>
        <v>19.2922441469504</v>
      </c>
      <c r="H10269" s="12">
        <f t="shared" si="48"/>
        <v>23.2915332904249</v>
      </c>
      <c r="I10269" s="12">
        <f t="shared" si="54"/>
        <v>154.499999999999</v>
      </c>
      <c r="J10269" s="12">
        <f t="shared" si="50"/>
        <v>19.2922441469504</v>
      </c>
      <c r="K10269" s="12">
        <f t="shared" si="51"/>
        <v>23.2915332904249</v>
      </c>
    </row>
    <row r="10270" spans="1:11">
      <c r="A10270">
        <f t="shared" si="52"/>
        <v>269</v>
      </c>
      <c r="B10270">
        <f t="shared" si="55"/>
        <v>21.7382139034407</v>
      </c>
      <c r="C10270">
        <f t="shared" si="56"/>
        <v>7.00228457265413</v>
      </c>
      <c r="F10270" s="12">
        <f t="shared" si="53"/>
        <v>154.574999999999</v>
      </c>
      <c r="G10270" s="12">
        <f t="shared" si="47"/>
        <v>19.2905558541424</v>
      </c>
      <c r="H10270" s="12">
        <f t="shared" si="48"/>
        <v>23.2879877408104</v>
      </c>
      <c r="I10270" s="12">
        <f t="shared" si="54"/>
        <v>154.574999999999</v>
      </c>
      <c r="J10270" s="12">
        <f t="shared" si="50"/>
        <v>19.2905558541424</v>
      </c>
      <c r="K10270" s="12">
        <f t="shared" si="51"/>
        <v>23.2879877408104</v>
      </c>
    </row>
    <row r="10271" spans="1:11">
      <c r="A10271">
        <f t="shared" si="52"/>
        <v>270</v>
      </c>
      <c r="B10271">
        <f t="shared" si="55"/>
        <v>22</v>
      </c>
      <c r="C10271">
        <f t="shared" si="56"/>
        <v>7</v>
      </c>
      <c r="F10271" s="12">
        <f t="shared" si="53"/>
        <v>154.649999999999</v>
      </c>
      <c r="G10271" s="12">
        <f t="shared" si="47"/>
        <v>19.288872203893</v>
      </c>
      <c r="H10271" s="12">
        <f t="shared" si="48"/>
        <v>23.284439984264</v>
      </c>
      <c r="I10271" s="12">
        <f t="shared" si="54"/>
        <v>154.649999999999</v>
      </c>
      <c r="J10271" s="12">
        <f t="shared" si="50"/>
        <v>19.288872203893</v>
      </c>
      <c r="K10271" s="12">
        <f t="shared" si="51"/>
        <v>23.284439984264</v>
      </c>
    </row>
    <row r="10272" spans="1:11">
      <c r="A10272">
        <f t="shared" si="52"/>
        <v>271</v>
      </c>
      <c r="B10272">
        <f t="shared" si="55"/>
        <v>22.2617860965592</v>
      </c>
      <c r="C10272">
        <f t="shared" si="56"/>
        <v>7.00228457265413</v>
      </c>
      <c r="F10272" s="12">
        <f t="shared" si="53"/>
        <v>154.724999999999</v>
      </c>
      <c r="G10272" s="12">
        <f t="shared" si="47"/>
        <v>19.2871931990872</v>
      </c>
      <c r="H10272" s="12">
        <f t="shared" si="48"/>
        <v>23.2808900268647</v>
      </c>
      <c r="I10272" s="12">
        <f t="shared" si="54"/>
        <v>154.724999999999</v>
      </c>
      <c r="J10272" s="12">
        <f t="shared" si="50"/>
        <v>19.2871931990872</v>
      </c>
      <c r="K10272" s="12">
        <f t="shared" si="51"/>
        <v>23.2808900268647</v>
      </c>
    </row>
    <row r="10273" spans="1:11">
      <c r="A10273">
        <f t="shared" si="52"/>
        <v>272</v>
      </c>
      <c r="B10273">
        <f t="shared" si="55"/>
        <v>22.5234924505375</v>
      </c>
      <c r="C10273">
        <f t="shared" si="56"/>
        <v>7.00913759471356</v>
      </c>
      <c r="F10273" s="12">
        <f t="shared" si="53"/>
        <v>154.799999999999</v>
      </c>
      <c r="G10273" s="12">
        <f t="shared" si="47"/>
        <v>19.285518842602</v>
      </c>
      <c r="H10273" s="12">
        <f t="shared" si="48"/>
        <v>23.2773378746953</v>
      </c>
      <c r="I10273" s="12">
        <f t="shared" si="54"/>
        <v>154.799999999999</v>
      </c>
      <c r="J10273" s="12">
        <f t="shared" si="50"/>
        <v>19.285518842602</v>
      </c>
      <c r="K10273" s="12">
        <f t="shared" si="51"/>
        <v>23.2773378746953</v>
      </c>
    </row>
    <row r="10274" spans="1:11">
      <c r="A10274">
        <f t="shared" si="52"/>
        <v>273</v>
      </c>
      <c r="B10274">
        <f t="shared" si="55"/>
        <v>22.7850393436441</v>
      </c>
      <c r="C10274">
        <f t="shared" si="56"/>
        <v>7.02055697868139</v>
      </c>
      <c r="F10274" s="12">
        <f t="shared" ref="F10274:F10305" si="57">MOD(F10273-$E$10006*$H$10207,360)</f>
        <v>154.874999999999</v>
      </c>
      <c r="G10274" s="12">
        <f t="shared" ref="G10274:G10337" si="58">COS(F10274/180*PI())*$E$10001*$R$10017+$E$10002</f>
        <v>19.2838491373061</v>
      </c>
      <c r="H10274" s="12">
        <f t="shared" ref="H10274:H10337" si="59">SIN(F10274/180*PI())*$E$10001*$R$10017+$E$10003</f>
        <v>23.2737835338422</v>
      </c>
      <c r="I10274" s="12">
        <f t="shared" ref="I10274:I10305" si="60">MOD(I10273-$E$10006*$K$10207,360)</f>
        <v>154.874999999999</v>
      </c>
      <c r="J10274" s="12">
        <f t="shared" ref="J10274:J10337" si="61">COS(I10274/180*PI())*$E$10001*$R$10021+$E$10002</f>
        <v>19.2838491373061</v>
      </c>
      <c r="K10274" s="12">
        <f t="shared" ref="K10274:K10337" si="62">SIN(I10274/180*PI())*$E$10001*$R$10021+$E$10003</f>
        <v>23.2737835338422</v>
      </c>
    </row>
    <row r="10275" spans="1:11">
      <c r="A10275">
        <f t="shared" si="52"/>
        <v>274</v>
      </c>
      <c r="B10275">
        <f t="shared" si="55"/>
        <v>23.0463471061619</v>
      </c>
      <c r="C10275">
        <f t="shared" si="56"/>
        <v>7.03653924610263</v>
      </c>
      <c r="F10275" s="12">
        <f t="shared" si="57"/>
        <v>154.949999999999</v>
      </c>
      <c r="G10275" s="12">
        <f t="shared" si="58"/>
        <v>19.2821840860608</v>
      </c>
      <c r="H10275" s="12">
        <f t="shared" si="59"/>
        <v>23.2702270103957</v>
      </c>
      <c r="I10275" s="12">
        <f t="shared" si="60"/>
        <v>154.949999999999</v>
      </c>
      <c r="J10275" s="12">
        <f t="shared" si="61"/>
        <v>19.2821840860608</v>
      </c>
      <c r="K10275" s="12">
        <f t="shared" si="62"/>
        <v>23.2702270103957</v>
      </c>
    </row>
    <row r="10276" spans="1:11">
      <c r="A10276">
        <f t="shared" si="52"/>
        <v>275</v>
      </c>
      <c r="B10276">
        <f t="shared" si="55"/>
        <v>23.3073361412149</v>
      </c>
      <c r="C10276">
        <f t="shared" si="56"/>
        <v>7.05707952862382</v>
      </c>
      <c r="F10276" s="12">
        <f t="shared" si="57"/>
        <v>155.024999999999</v>
      </c>
      <c r="G10276" s="12">
        <f t="shared" si="58"/>
        <v>19.280523691719</v>
      </c>
      <c r="H10276" s="12">
        <f t="shared" si="59"/>
        <v>23.2666683104499</v>
      </c>
      <c r="I10276" s="12">
        <f t="shared" si="60"/>
        <v>155.024999999999</v>
      </c>
      <c r="J10276" s="12">
        <f t="shared" si="61"/>
        <v>19.280523691719</v>
      </c>
      <c r="K10276" s="12">
        <f t="shared" si="62"/>
        <v>23.2666683104499</v>
      </c>
    </row>
    <row r="10277" spans="1:11">
      <c r="A10277">
        <f t="shared" si="52"/>
        <v>276</v>
      </c>
      <c r="B10277">
        <f t="shared" si="55"/>
        <v>23.5679269490148</v>
      </c>
      <c r="C10277">
        <f t="shared" si="56"/>
        <v>7.0821715694759</v>
      </c>
      <c r="F10277" s="12">
        <f t="shared" si="57"/>
        <v>155.099999999999</v>
      </c>
      <c r="G10277" s="12">
        <f t="shared" si="58"/>
        <v>19.2788679571256</v>
      </c>
      <c r="H10277" s="12">
        <f t="shared" si="59"/>
        <v>23.2631074401025</v>
      </c>
      <c r="I10277" s="12">
        <f t="shared" si="60"/>
        <v>155.099999999999</v>
      </c>
      <c r="J10277" s="12">
        <f t="shared" si="61"/>
        <v>19.2788679571256</v>
      </c>
      <c r="K10277" s="12">
        <f t="shared" si="62"/>
        <v>23.2631074401025</v>
      </c>
    </row>
    <row r="10278" spans="1:11">
      <c r="A10278">
        <f t="shared" si="52"/>
        <v>277</v>
      </c>
      <c r="B10278">
        <f t="shared" si="55"/>
        <v>23.8280401510772</v>
      </c>
      <c r="C10278">
        <f t="shared" si="56"/>
        <v>7.11180772538017</v>
      </c>
      <c r="F10278" s="12">
        <f t="shared" si="57"/>
        <v>155.174999999999</v>
      </c>
      <c r="G10278" s="12">
        <f t="shared" si="58"/>
        <v>19.2772168851179</v>
      </c>
      <c r="H10278" s="12">
        <f t="shared" si="59"/>
        <v>23.2595444054549</v>
      </c>
      <c r="I10278" s="12">
        <f t="shared" si="60"/>
        <v>155.174999999999</v>
      </c>
      <c r="J10278" s="12">
        <f t="shared" si="61"/>
        <v>19.2772168851179</v>
      </c>
      <c r="K10278" s="12">
        <f t="shared" si="62"/>
        <v>23.2595444054549</v>
      </c>
    </row>
    <row r="10279" spans="1:11">
      <c r="A10279">
        <f t="shared" ref="A10279:A10342" si="63">A10278+1</f>
        <v>278</v>
      </c>
      <c r="B10279">
        <f t="shared" si="55"/>
        <v>24.087596514401</v>
      </c>
      <c r="C10279">
        <f t="shared" si="56"/>
        <v>7.14597896887645</v>
      </c>
      <c r="F10279" s="12">
        <f t="shared" si="57"/>
        <v>155.249999999999</v>
      </c>
      <c r="G10279" s="12">
        <f t="shared" si="58"/>
        <v>19.2755704785248</v>
      </c>
      <c r="H10279" s="12">
        <f t="shared" si="59"/>
        <v>23.2559792126123</v>
      </c>
      <c r="I10279" s="12">
        <f t="shared" si="60"/>
        <v>155.249999999999</v>
      </c>
      <c r="J10279" s="12">
        <f t="shared" si="61"/>
        <v>19.2755704785248</v>
      </c>
      <c r="K10279" s="12">
        <f t="shared" si="62"/>
        <v>23.2559792126123</v>
      </c>
    </row>
    <row r="10280" spans="1:11">
      <c r="A10280">
        <f t="shared" si="63"/>
        <v>279</v>
      </c>
      <c r="B10280">
        <f t="shared" si="55"/>
        <v>24.3465169756035</v>
      </c>
      <c r="C10280">
        <f t="shared" si="56"/>
        <v>7.18467489107293</v>
      </c>
      <c r="F10280" s="12">
        <f t="shared" si="57"/>
        <v>155.324999999999</v>
      </c>
      <c r="G10280" s="12">
        <f t="shared" si="58"/>
        <v>19.2739287401674</v>
      </c>
      <c r="H10280" s="12">
        <f t="shared" si="59"/>
        <v>23.2524118676836</v>
      </c>
      <c r="I10280" s="12">
        <f t="shared" si="60"/>
        <v>155.324999999999</v>
      </c>
      <c r="J10280" s="12">
        <f t="shared" si="61"/>
        <v>19.2739287401674</v>
      </c>
      <c r="K10280" s="12">
        <f t="shared" si="62"/>
        <v>23.2524118676836</v>
      </c>
    </row>
    <row r="10281" spans="1:11">
      <c r="A10281">
        <f t="shared" si="63"/>
        <v>280</v>
      </c>
      <c r="B10281">
        <f t="shared" si="55"/>
        <v>24.6047226650039</v>
      </c>
      <c r="C10281">
        <f t="shared" si="56"/>
        <v>7.22788370481688</v>
      </c>
      <c r="F10281" s="12">
        <f t="shared" si="57"/>
        <v>155.399999999999</v>
      </c>
      <c r="G10281" s="12">
        <f t="shared" si="58"/>
        <v>19.2722916728588</v>
      </c>
      <c r="H10281" s="12">
        <f t="shared" si="59"/>
        <v>23.2488423767812</v>
      </c>
      <c r="I10281" s="12">
        <f t="shared" si="60"/>
        <v>155.399999999999</v>
      </c>
      <c r="J10281" s="12">
        <f t="shared" si="61"/>
        <v>19.2722916728588</v>
      </c>
      <c r="K10281" s="12">
        <f t="shared" si="62"/>
        <v>23.2488423767812</v>
      </c>
    </row>
    <row r="10282" spans="1:11">
      <c r="A10282">
        <f t="shared" si="63"/>
        <v>281</v>
      </c>
      <c r="B10282">
        <f t="shared" si="55"/>
        <v>24.8621349306482</v>
      </c>
      <c r="C10282">
        <f t="shared" si="56"/>
        <v>7.27559224828504</v>
      </c>
      <c r="F10282" s="12">
        <f t="shared" si="57"/>
        <v>155.474999999999</v>
      </c>
      <c r="G10282" s="12">
        <f t="shared" si="58"/>
        <v>19.2706592794041</v>
      </c>
      <c r="H10282" s="12">
        <f t="shared" si="59"/>
        <v>23.2452707460215</v>
      </c>
      <c r="I10282" s="12">
        <f t="shared" si="60"/>
        <v>155.474999999999</v>
      </c>
      <c r="J10282" s="12">
        <f t="shared" si="61"/>
        <v>19.2706592794041</v>
      </c>
      <c r="K10282" s="12">
        <f t="shared" si="62"/>
        <v>23.2452707460215</v>
      </c>
    </row>
    <row r="10283" spans="1:11">
      <c r="A10283">
        <f t="shared" si="63"/>
        <v>282</v>
      </c>
      <c r="B10283">
        <f t="shared" si="55"/>
        <v>25.1186753622664</v>
      </c>
      <c r="C10283">
        <f t="shared" si="56"/>
        <v>7.32778598899292</v>
      </c>
      <c r="F10283" s="12">
        <f t="shared" si="57"/>
        <v>155.549999999999</v>
      </c>
      <c r="G10283" s="12">
        <f t="shared" si="58"/>
        <v>19.2690315626003</v>
      </c>
      <c r="H10283" s="12">
        <f t="shared" si="59"/>
        <v>23.2416969815243</v>
      </c>
      <c r="I10283" s="12">
        <f t="shared" si="60"/>
        <v>155.549999999999</v>
      </c>
      <c r="J10283" s="12">
        <f t="shared" si="61"/>
        <v>19.2690315626003</v>
      </c>
      <c r="K10283" s="12">
        <f t="shared" si="62"/>
        <v>23.2416969815243</v>
      </c>
    </row>
    <row r="10284" spans="1:11">
      <c r="A10284">
        <f t="shared" si="63"/>
        <v>283</v>
      </c>
      <c r="B10284">
        <f t="shared" si="55"/>
        <v>25.374265815158</v>
      </c>
      <c r="C10284">
        <f t="shared" si="56"/>
        <v>7.38444902822147</v>
      </c>
      <c r="F10284" s="12">
        <f t="shared" si="57"/>
        <v>155.624999999999</v>
      </c>
      <c r="G10284" s="12">
        <f t="shared" si="58"/>
        <v>19.2674085252365</v>
      </c>
      <c r="H10284" s="12">
        <f t="shared" si="59"/>
        <v>23.2381210894132</v>
      </c>
      <c r="I10284" s="12">
        <f t="shared" si="60"/>
        <v>155.624999999999</v>
      </c>
      <c r="J10284" s="12">
        <f t="shared" si="61"/>
        <v>19.2674085252365</v>
      </c>
      <c r="K10284" s="12">
        <f t="shared" si="62"/>
        <v>23.2381210894132</v>
      </c>
    </row>
    <row r="10285" spans="1:11">
      <c r="A10285">
        <f t="shared" si="63"/>
        <v>284</v>
      </c>
      <c r="B10285">
        <f t="shared" si="55"/>
        <v>25.628828433995</v>
      </c>
      <c r="C10285">
        <f t="shared" si="56"/>
        <v>7.44556410586005</v>
      </c>
      <c r="F10285" s="12">
        <f t="shared" si="57"/>
        <v>155.699999999999</v>
      </c>
      <c r="G10285" s="12">
        <f t="shared" si="58"/>
        <v>19.2657901700937</v>
      </c>
      <c r="H10285" s="12">
        <f t="shared" si="59"/>
        <v>23.2345430758154</v>
      </c>
      <c r="I10285" s="12">
        <f t="shared" si="60"/>
        <v>155.699999999999</v>
      </c>
      <c r="J10285" s="12">
        <f t="shared" si="61"/>
        <v>19.2657901700937</v>
      </c>
      <c r="K10285" s="12">
        <f t="shared" si="62"/>
        <v>23.2345430758154</v>
      </c>
    </row>
    <row r="10286" spans="1:11">
      <c r="A10286">
        <f t="shared" si="63"/>
        <v>285</v>
      </c>
      <c r="B10286">
        <f t="shared" si="55"/>
        <v>25.8822856765378</v>
      </c>
      <c r="C10286">
        <f t="shared" si="56"/>
        <v>7.51111260566397</v>
      </c>
      <c r="F10286" s="12">
        <f t="shared" si="57"/>
        <v>155.774999999999</v>
      </c>
      <c r="G10286" s="12">
        <f t="shared" si="58"/>
        <v>19.2641764999449</v>
      </c>
      <c r="H10286" s="12">
        <f t="shared" si="59"/>
        <v>23.2309629468616</v>
      </c>
      <c r="I10286" s="12">
        <f t="shared" si="60"/>
        <v>155.774999999999</v>
      </c>
      <c r="J10286" s="12">
        <f t="shared" si="61"/>
        <v>19.2641764999449</v>
      </c>
      <c r="K10286" s="12">
        <f t="shared" si="62"/>
        <v>23.2309629468616</v>
      </c>
    </row>
    <row r="10287" spans="1:11">
      <c r="A10287">
        <f t="shared" si="63"/>
        <v>286</v>
      </c>
      <c r="B10287">
        <f t="shared" si="55"/>
        <v>26.134560337255</v>
      </c>
      <c r="C10287">
        <f t="shared" si="56"/>
        <v>7.58107456092521</v>
      </c>
      <c r="F10287" s="12">
        <f t="shared" si="57"/>
        <v>155.849999999999</v>
      </c>
      <c r="G10287" s="12">
        <f t="shared" si="58"/>
        <v>19.2625675175551</v>
      </c>
      <c r="H10287" s="12">
        <f t="shared" si="59"/>
        <v>23.2273807086864</v>
      </c>
      <c r="I10287" s="12">
        <f t="shared" si="60"/>
        <v>155.849999999999</v>
      </c>
      <c r="J10287" s="12">
        <f t="shared" si="61"/>
        <v>19.2625675175551</v>
      </c>
      <c r="K10287" s="12">
        <f t="shared" si="62"/>
        <v>23.2273807086864</v>
      </c>
    </row>
    <row r="10288" spans="1:11">
      <c r="A10288">
        <f t="shared" si="63"/>
        <v>287</v>
      </c>
      <c r="B10288">
        <f t="shared" si="55"/>
        <v>26.3855755708411</v>
      </c>
      <c r="C10288">
        <f t="shared" si="56"/>
        <v>7.65542866055447</v>
      </c>
      <c r="F10288" s="12">
        <f t="shared" si="57"/>
        <v>155.924999999999</v>
      </c>
      <c r="G10288" s="12">
        <f t="shared" si="58"/>
        <v>19.2609632256812</v>
      </c>
      <c r="H10288" s="12">
        <f t="shared" si="59"/>
        <v>23.2237963674278</v>
      </c>
      <c r="I10288" s="12">
        <f t="shared" si="60"/>
        <v>155.924999999999</v>
      </c>
      <c r="J10288" s="12">
        <f t="shared" si="61"/>
        <v>19.2609632256812</v>
      </c>
      <c r="K10288" s="12">
        <f t="shared" si="62"/>
        <v>23.2237963674278</v>
      </c>
    </row>
    <row r="10289" spans="1:11">
      <c r="A10289">
        <f t="shared" si="63"/>
        <v>288</v>
      </c>
      <c r="B10289">
        <f t="shared" si="55"/>
        <v>26.6352549156242</v>
      </c>
      <c r="C10289">
        <f t="shared" si="56"/>
        <v>7.7341522555727</v>
      </c>
      <c r="F10289" s="12">
        <f t="shared" si="57"/>
        <v>155.999999999999</v>
      </c>
      <c r="G10289" s="12">
        <f t="shared" si="58"/>
        <v>19.2593636270722</v>
      </c>
      <c r="H10289" s="12">
        <f t="shared" si="59"/>
        <v>23.2202099292274</v>
      </c>
      <c r="I10289" s="12">
        <f t="shared" si="60"/>
        <v>155.999999999999</v>
      </c>
      <c r="J10289" s="12">
        <f t="shared" si="61"/>
        <v>19.2593636270722</v>
      </c>
      <c r="K10289" s="12">
        <f t="shared" si="62"/>
        <v>23.2202099292274</v>
      </c>
    </row>
    <row r="10290" spans="1:11">
      <c r="A10290">
        <f t="shared" si="63"/>
        <v>289</v>
      </c>
      <c r="B10290">
        <f t="shared" si="55"/>
        <v>26.8835223168573</v>
      </c>
      <c r="C10290">
        <f t="shared" si="56"/>
        <v>7.81722136601025</v>
      </c>
      <c r="F10290" s="12">
        <f t="shared" si="57"/>
        <v>156.074999999999</v>
      </c>
      <c r="G10290" s="12">
        <f t="shared" si="58"/>
        <v>19.2577687244689</v>
      </c>
      <c r="H10290" s="12">
        <f t="shared" si="59"/>
        <v>23.2166214002307</v>
      </c>
      <c r="I10290" s="12">
        <f t="shared" si="60"/>
        <v>156.074999999999</v>
      </c>
      <c r="J10290" s="12">
        <f t="shared" si="61"/>
        <v>19.2577687244689</v>
      </c>
      <c r="K10290" s="12">
        <f t="shared" si="62"/>
        <v>23.2166214002307</v>
      </c>
    </row>
    <row r="10291" spans="1:11">
      <c r="A10291">
        <f t="shared" si="63"/>
        <v>290</v>
      </c>
      <c r="B10291">
        <f t="shared" si="55"/>
        <v>27.130302149885</v>
      </c>
      <c r="C10291">
        <f t="shared" si="56"/>
        <v>7.90461068821138</v>
      </c>
      <c r="F10291" s="12">
        <f t="shared" si="57"/>
        <v>156.149999999999</v>
      </c>
      <c r="G10291" s="12">
        <f t="shared" si="58"/>
        <v>19.2561785206042</v>
      </c>
      <c r="H10291" s="12">
        <f t="shared" si="59"/>
        <v>23.2130307865863</v>
      </c>
      <c r="I10291" s="12">
        <f t="shared" si="60"/>
        <v>156.149999999999</v>
      </c>
      <c r="J10291" s="12">
        <f t="shared" si="61"/>
        <v>19.2561785206042</v>
      </c>
      <c r="K10291" s="12">
        <f t="shared" si="62"/>
        <v>23.2130307865863</v>
      </c>
    </row>
    <row r="10292" spans="1:11">
      <c r="A10292">
        <f t="shared" si="63"/>
        <v>291</v>
      </c>
      <c r="B10292">
        <f t="shared" si="55"/>
        <v>27.3755192431795</v>
      </c>
      <c r="C10292">
        <f t="shared" si="56"/>
        <v>7.99629360254197</v>
      </c>
      <c r="F10292" s="12">
        <f t="shared" si="57"/>
        <v>156.224999999999</v>
      </c>
      <c r="G10292" s="12">
        <f t="shared" si="58"/>
        <v>19.2545930182027</v>
      </c>
      <c r="H10292" s="12">
        <f t="shared" si="59"/>
        <v>23.2094380944467</v>
      </c>
      <c r="I10292" s="12">
        <f t="shared" si="60"/>
        <v>156.224999999999</v>
      </c>
      <c r="J10292" s="12">
        <f t="shared" si="61"/>
        <v>19.2545930182027</v>
      </c>
      <c r="K10292" s="12">
        <f t="shared" si="62"/>
        <v>23.2094380944467</v>
      </c>
    </row>
    <row r="10293" spans="1:11">
      <c r="A10293">
        <f t="shared" si="63"/>
        <v>292</v>
      </c>
      <c r="B10293">
        <f t="shared" si="55"/>
        <v>27.6190989012387</v>
      </c>
      <c r="C10293">
        <f t="shared" si="56"/>
        <v>8.09224218149819</v>
      </c>
      <c r="F10293" s="12">
        <f t="shared" si="57"/>
        <v>156.299999999999</v>
      </c>
      <c r="G10293" s="12">
        <f t="shared" si="58"/>
        <v>19.2530122199813</v>
      </c>
      <c r="H10293" s="12">
        <f t="shared" si="59"/>
        <v>23.2058433299679</v>
      </c>
      <c r="I10293" s="12">
        <f t="shared" si="60"/>
        <v>156.299999999999</v>
      </c>
      <c r="J10293" s="12">
        <f t="shared" si="61"/>
        <v>19.2530122199813</v>
      </c>
      <c r="K10293" s="12">
        <f t="shared" si="62"/>
        <v>23.2058433299679</v>
      </c>
    </row>
    <row r="10294" spans="1:11">
      <c r="A10294">
        <f t="shared" si="63"/>
        <v>293</v>
      </c>
      <c r="B10294">
        <f t="shared" si="55"/>
        <v>27.8609669273391</v>
      </c>
      <c r="C10294">
        <f t="shared" si="56"/>
        <v>8.19242719821339</v>
      </c>
      <c r="F10294" s="12">
        <f t="shared" si="57"/>
        <v>156.374999999999</v>
      </c>
      <c r="G10294" s="12">
        <f t="shared" si="58"/>
        <v>19.2514361286486</v>
      </c>
      <c r="H10294" s="12">
        <f t="shared" si="59"/>
        <v>23.2022464993095</v>
      </c>
      <c r="I10294" s="12">
        <f t="shared" si="60"/>
        <v>156.374999999999</v>
      </c>
      <c r="J10294" s="12">
        <f t="shared" si="61"/>
        <v>19.2514361286486</v>
      </c>
      <c r="K10294" s="12">
        <f t="shared" si="62"/>
        <v>23.2022464993095</v>
      </c>
    </row>
    <row r="10295" spans="1:11">
      <c r="A10295">
        <f t="shared" si="63"/>
        <v>294</v>
      </c>
      <c r="B10295">
        <f t="shared" si="55"/>
        <v>28.101049646137</v>
      </c>
      <c r="C10295">
        <f t="shared" si="56"/>
        <v>8.29681813536098</v>
      </c>
      <c r="F10295" s="12">
        <f t="shared" si="57"/>
        <v>156.449999999999</v>
      </c>
      <c r="G10295" s="12">
        <f t="shared" si="58"/>
        <v>19.2498647469052</v>
      </c>
      <c r="H10295" s="12">
        <f t="shared" si="59"/>
        <v>23.1986476086344</v>
      </c>
      <c r="I10295" s="12">
        <f t="shared" si="60"/>
        <v>156.449999999999</v>
      </c>
      <c r="J10295" s="12">
        <f t="shared" si="61"/>
        <v>19.2498647469052</v>
      </c>
      <c r="K10295" s="12">
        <f t="shared" si="62"/>
        <v>23.1986476086344</v>
      </c>
    </row>
    <row r="10296" spans="1:11">
      <c r="A10296">
        <f t="shared" si="63"/>
        <v>295</v>
      </c>
      <c r="B10296">
        <f t="shared" si="55"/>
        <v>28.3392739261105</v>
      </c>
      <c r="C10296">
        <f t="shared" si="56"/>
        <v>8.40538319445025</v>
      </c>
      <c r="F10296" s="12">
        <f t="shared" si="57"/>
        <v>156.524999999999</v>
      </c>
      <c r="G10296" s="12">
        <f t="shared" si="58"/>
        <v>19.2482980774435</v>
      </c>
      <c r="H10296" s="12">
        <f t="shared" si="59"/>
        <v>23.1950466641093</v>
      </c>
      <c r="I10296" s="12">
        <f t="shared" si="60"/>
        <v>156.524999999999</v>
      </c>
      <c r="J10296" s="12">
        <f t="shared" si="61"/>
        <v>19.2482980774435</v>
      </c>
      <c r="K10296" s="12">
        <f t="shared" si="62"/>
        <v>23.1950466641093</v>
      </c>
    </row>
    <row r="10297" spans="1:11">
      <c r="A10297">
        <f t="shared" si="63"/>
        <v>296</v>
      </c>
      <c r="B10297">
        <f t="shared" si="55"/>
        <v>28.5755672018362</v>
      </c>
      <c r="C10297">
        <f t="shared" si="56"/>
        <v>8.5180893055125</v>
      </c>
      <c r="F10297" s="12">
        <f t="shared" si="57"/>
        <v>156.599999999999</v>
      </c>
      <c r="G10297" s="12">
        <f t="shared" si="58"/>
        <v>19.2467361229481</v>
      </c>
      <c r="H10297" s="12">
        <f t="shared" si="59"/>
        <v>23.1914436719044</v>
      </c>
      <c r="I10297" s="12">
        <f t="shared" si="60"/>
        <v>156.599999999999</v>
      </c>
      <c r="J10297" s="12">
        <f t="shared" si="61"/>
        <v>19.2467361229481</v>
      </c>
      <c r="K10297" s="12">
        <f t="shared" si="62"/>
        <v>23.1914436719044</v>
      </c>
    </row>
    <row r="10298" spans="1:11">
      <c r="A10298">
        <f t="shared" si="63"/>
        <v>297</v>
      </c>
      <c r="B10298">
        <f t="shared" si="55"/>
        <v>28.8098574960932</v>
      </c>
      <c r="C10298">
        <f t="shared" si="56"/>
        <v>8.63490213717448</v>
      </c>
      <c r="F10298" s="12">
        <f t="shared" si="57"/>
        <v>156.674999999999</v>
      </c>
      <c r="G10298" s="12">
        <f t="shared" si="58"/>
        <v>19.2451788860953</v>
      </c>
      <c r="H10298" s="12">
        <f t="shared" si="59"/>
        <v>23.1878386381932</v>
      </c>
      <c r="I10298" s="12">
        <f t="shared" si="60"/>
        <v>156.674999999999</v>
      </c>
      <c r="J10298" s="12">
        <f t="shared" si="61"/>
        <v>19.2451788860953</v>
      </c>
      <c r="K10298" s="12">
        <f t="shared" si="62"/>
        <v>23.1878386381932</v>
      </c>
    </row>
    <row r="10299" spans="1:11">
      <c r="A10299">
        <f t="shared" si="63"/>
        <v>298</v>
      </c>
      <c r="B10299">
        <f t="shared" si="55"/>
        <v>29.0420734417884</v>
      </c>
      <c r="C10299">
        <f t="shared" si="56"/>
        <v>8.75578610711609</v>
      </c>
      <c r="F10299" s="12">
        <f t="shared" si="57"/>
        <v>156.749999999999</v>
      </c>
      <c r="G10299" s="12">
        <f t="shared" si="58"/>
        <v>19.2436263695533</v>
      </c>
      <c r="H10299" s="12">
        <f t="shared" si="59"/>
        <v>23.1842315691528</v>
      </c>
      <c r="I10299" s="12">
        <f t="shared" si="60"/>
        <v>156.749999999999</v>
      </c>
      <c r="J10299" s="12">
        <f t="shared" si="61"/>
        <v>19.2436263695533</v>
      </c>
      <c r="K10299" s="12">
        <f t="shared" si="62"/>
        <v>23.1842315691528</v>
      </c>
    </row>
    <row r="10300" spans="1:11">
      <c r="A10300">
        <f t="shared" si="63"/>
        <v>299</v>
      </c>
      <c r="B10300">
        <f t="shared" si="55"/>
        <v>29.2721443036951</v>
      </c>
      <c r="C10300">
        <f t="shared" si="56"/>
        <v>8.88070439290906</v>
      </c>
      <c r="F10300" s="12">
        <f t="shared" si="57"/>
        <v>156.824999999999</v>
      </c>
      <c r="G10300" s="12">
        <f t="shared" si="58"/>
        <v>19.2420785759825</v>
      </c>
      <c r="H10300" s="12">
        <f t="shared" si="59"/>
        <v>23.180622470964</v>
      </c>
      <c r="I10300" s="12">
        <f t="shared" si="60"/>
        <v>156.824999999999</v>
      </c>
      <c r="J10300" s="12">
        <f t="shared" si="61"/>
        <v>19.2420785759825</v>
      </c>
      <c r="K10300" s="12">
        <f t="shared" si="62"/>
        <v>23.180622470964</v>
      </c>
    </row>
    <row r="10301" spans="1:11">
      <c r="A10301">
        <f t="shared" si="63"/>
        <v>300</v>
      </c>
      <c r="B10301">
        <f t="shared" si="55"/>
        <v>29.5</v>
      </c>
      <c r="C10301">
        <f t="shared" si="56"/>
        <v>9.00961894323342</v>
      </c>
      <c r="F10301" s="12">
        <f t="shared" si="57"/>
        <v>156.899999999999</v>
      </c>
      <c r="G10301" s="12">
        <f t="shared" si="58"/>
        <v>19.2405355080348</v>
      </c>
      <c r="H10301" s="12">
        <f t="shared" si="59"/>
        <v>23.1770113498107</v>
      </c>
      <c r="I10301" s="12">
        <f t="shared" si="60"/>
        <v>156.899999999999</v>
      </c>
      <c r="J10301" s="12">
        <f t="shared" si="61"/>
        <v>19.2405355080348</v>
      </c>
      <c r="K10301" s="12">
        <f t="shared" si="62"/>
        <v>23.1770113498107</v>
      </c>
    </row>
    <row r="10302" spans="1:11">
      <c r="A10302">
        <f t="shared" si="63"/>
        <v>301</v>
      </c>
      <c r="B10302">
        <f t="shared" si="55"/>
        <v>29.7255711236508</v>
      </c>
      <c r="C10302">
        <f t="shared" si="56"/>
        <v>9.14249048946832</v>
      </c>
      <c r="F10302" s="12">
        <f t="shared" si="57"/>
        <v>156.974999999999</v>
      </c>
      <c r="G10302" s="12">
        <f t="shared" si="58"/>
        <v>19.2389971683543</v>
      </c>
      <c r="H10302" s="12">
        <f t="shared" si="59"/>
        <v>23.1733982118806</v>
      </c>
      <c r="I10302" s="12">
        <f t="shared" si="60"/>
        <v>156.974999999999</v>
      </c>
      <c r="J10302" s="12">
        <f t="shared" si="61"/>
        <v>19.2389971683543</v>
      </c>
      <c r="K10302" s="12">
        <f t="shared" si="62"/>
        <v>23.1733982118806</v>
      </c>
    </row>
    <row r="10303" spans="1:11">
      <c r="A10303">
        <f t="shared" si="63"/>
        <v>302</v>
      </c>
      <c r="B10303">
        <f t="shared" si="55"/>
        <v>29.9487889634981</v>
      </c>
      <c r="C10303">
        <f t="shared" si="56"/>
        <v>9.27927855765361</v>
      </c>
      <c r="F10303" s="12">
        <f t="shared" si="57"/>
        <v>157.049999999999</v>
      </c>
      <c r="G10303" s="12">
        <f t="shared" si="58"/>
        <v>19.2374635595769</v>
      </c>
      <c r="H10303" s="12">
        <f t="shared" si="59"/>
        <v>23.1697830633646</v>
      </c>
      <c r="I10303" s="12">
        <f t="shared" si="60"/>
        <v>157.049999999999</v>
      </c>
      <c r="J10303" s="12">
        <f t="shared" si="61"/>
        <v>19.2374635595769</v>
      </c>
      <c r="K10303" s="12">
        <f t="shared" si="62"/>
        <v>23.1697830633646</v>
      </c>
    </row>
    <row r="10304" spans="1:11">
      <c r="A10304">
        <f t="shared" si="63"/>
        <v>303</v>
      </c>
      <c r="B10304">
        <f t="shared" si="55"/>
        <v>30.1695855252254</v>
      </c>
      <c r="C10304">
        <f t="shared" si="56"/>
        <v>9.41994148081864</v>
      </c>
      <c r="F10304" s="12">
        <f t="shared" si="57"/>
        <v>157.124999999999</v>
      </c>
      <c r="G10304" s="12">
        <f t="shared" si="58"/>
        <v>19.2359346843304</v>
      </c>
      <c r="H10304" s="12">
        <f t="shared" si="59"/>
        <v>23.1661659104572</v>
      </c>
      <c r="I10304" s="12">
        <f t="shared" si="60"/>
        <v>157.124999999999</v>
      </c>
      <c r="J10304" s="12">
        <f t="shared" si="61"/>
        <v>19.2359346843304</v>
      </c>
      <c r="K10304" s="12">
        <f t="shared" si="62"/>
        <v>23.1661659104572</v>
      </c>
    </row>
    <row r="10305" spans="1:11">
      <c r="A10305">
        <f t="shared" si="63"/>
        <v>304</v>
      </c>
      <c r="B10305">
        <f t="shared" si="55"/>
        <v>30.3878935520612</v>
      </c>
      <c r="C10305">
        <f t="shared" si="56"/>
        <v>9.56443641167438</v>
      </c>
      <c r="F10305" s="12">
        <f t="shared" si="57"/>
        <v>157.199999999999</v>
      </c>
      <c r="G10305" s="12">
        <f t="shared" si="58"/>
        <v>19.2344105452345</v>
      </c>
      <c r="H10305" s="12">
        <f t="shared" si="59"/>
        <v>23.1625467593564</v>
      </c>
      <c r="I10305" s="12">
        <f t="shared" si="60"/>
        <v>157.199999999999</v>
      </c>
      <c r="J10305" s="12">
        <f t="shared" si="61"/>
        <v>19.2344105452345</v>
      </c>
      <c r="K10305" s="12">
        <f t="shared" si="62"/>
        <v>23.1625467593564</v>
      </c>
    </row>
    <row r="10306" spans="1:11">
      <c r="A10306">
        <f t="shared" si="63"/>
        <v>305</v>
      </c>
      <c r="B10306">
        <f t="shared" si="55"/>
        <v>30.6036465452657</v>
      </c>
      <c r="C10306">
        <f t="shared" si="56"/>
        <v>9.71271933566512</v>
      </c>
      <c r="F10306" s="12">
        <f t="shared" ref="F10306:F10337" si="64">MOD(F10305-$E$10006*$H$10207,360)</f>
        <v>157.274999999999</v>
      </c>
      <c r="G10306" s="12">
        <f t="shared" si="58"/>
        <v>19.2328911449007</v>
      </c>
      <c r="H10306" s="12">
        <f t="shared" si="59"/>
        <v>23.1589256162633</v>
      </c>
      <c r="I10306" s="12">
        <f t="shared" ref="I10306:I10337" si="65">MOD(I10305-$E$10006*$K$10207,360)</f>
        <v>157.274999999999</v>
      </c>
      <c r="J10306" s="12">
        <f t="shared" si="61"/>
        <v>19.2328911449007</v>
      </c>
      <c r="K10306" s="12">
        <f t="shared" si="62"/>
        <v>23.1589256162633</v>
      </c>
    </row>
    <row r="10307" spans="1:11">
      <c r="A10307">
        <f t="shared" si="63"/>
        <v>306</v>
      </c>
      <c r="B10307">
        <f t="shared" si="55"/>
        <v>30.8167787843871</v>
      </c>
      <c r="C10307">
        <f t="shared" si="56"/>
        <v>9.86474508437579</v>
      </c>
      <c r="F10307" s="12">
        <f t="shared" si="64"/>
        <v>157.349999999999</v>
      </c>
      <c r="G10307" s="12">
        <f t="shared" si="58"/>
        <v>19.2313764859326</v>
      </c>
      <c r="H10307" s="12">
        <f t="shared" si="59"/>
        <v>23.1553024873828</v>
      </c>
      <c r="I10307" s="12">
        <f t="shared" si="65"/>
        <v>157.349999999999</v>
      </c>
      <c r="J10307" s="12">
        <f t="shared" si="61"/>
        <v>19.2313764859326</v>
      </c>
      <c r="K10307" s="12">
        <f t="shared" si="62"/>
        <v>23.1553024873828</v>
      </c>
    </row>
    <row r="10308" spans="1:11">
      <c r="A10308">
        <f t="shared" si="63"/>
        <v>307</v>
      </c>
      <c r="B10308">
        <f t="shared" si="55"/>
        <v>31.0272253472807</v>
      </c>
      <c r="C10308">
        <f t="shared" si="56"/>
        <v>10.0204673492906</v>
      </c>
      <c r="F10308" s="12">
        <f t="shared" si="64"/>
        <v>157.424999999999</v>
      </c>
      <c r="G10308" s="12">
        <f t="shared" si="58"/>
        <v>19.2298665709253</v>
      </c>
      <c r="H10308" s="12">
        <f t="shared" si="59"/>
        <v>23.151677378923</v>
      </c>
      <c r="I10308" s="12">
        <f t="shared" si="65"/>
        <v>157.424999999999</v>
      </c>
      <c r="J10308" s="12">
        <f t="shared" si="61"/>
        <v>19.2298665709253</v>
      </c>
      <c r="K10308" s="12">
        <f t="shared" si="62"/>
        <v>23.151677378923</v>
      </c>
    </row>
    <row r="10309" spans="1:11">
      <c r="A10309">
        <f t="shared" si="63"/>
        <v>308</v>
      </c>
      <c r="B10309">
        <f t="shared" si="55"/>
        <v>31.2349221298849</v>
      </c>
      <c r="C10309">
        <f t="shared" si="56"/>
        <v>10.1798386958992</v>
      </c>
      <c r="F10309" s="12">
        <f t="shared" si="64"/>
        <v>157.499999999999</v>
      </c>
      <c r="G10309" s="12">
        <f t="shared" si="58"/>
        <v>19.2283614024662</v>
      </c>
      <c r="H10309" s="12">
        <f t="shared" si="59"/>
        <v>23.1480502970953</v>
      </c>
      <c r="I10309" s="12">
        <f t="shared" si="65"/>
        <v>157.499999999999</v>
      </c>
      <c r="J10309" s="12">
        <f t="shared" si="61"/>
        <v>19.2283614024662</v>
      </c>
      <c r="K10309" s="12">
        <f t="shared" si="62"/>
        <v>23.1480502970953</v>
      </c>
    </row>
    <row r="10310" spans="1:11">
      <c r="A10310">
        <f t="shared" si="63"/>
        <v>309</v>
      </c>
      <c r="B10310">
        <f t="shared" si="55"/>
        <v>31.4398058657476</v>
      </c>
      <c r="C10310">
        <f t="shared" si="56"/>
        <v>10.3428105781454</v>
      </c>
      <c r="F10310" s="12">
        <f t="shared" si="64"/>
        <v>157.574999999999</v>
      </c>
      <c r="G10310" s="12">
        <f t="shared" si="58"/>
        <v>19.2268609831342</v>
      </c>
      <c r="H10310" s="12">
        <f t="shared" si="59"/>
        <v>23.1444212481148</v>
      </c>
      <c r="I10310" s="12">
        <f t="shared" si="65"/>
        <v>157.574999999999</v>
      </c>
      <c r="J10310" s="12">
        <f t="shared" si="61"/>
        <v>19.2268609831342</v>
      </c>
      <c r="K10310" s="12">
        <f t="shared" si="62"/>
        <v>23.1444212481148</v>
      </c>
    </row>
    <row r="10311" spans="1:11">
      <c r="A10311">
        <f t="shared" si="63"/>
        <v>310</v>
      </c>
      <c r="B10311">
        <f t="shared" si="55"/>
        <v>31.6418141452981</v>
      </c>
      <c r="C10311">
        <f t="shared" si="56"/>
        <v>10.5093333532153</v>
      </c>
      <c r="F10311" s="12">
        <f t="shared" si="64"/>
        <v>157.649999999999</v>
      </c>
      <c r="G10311" s="12">
        <f t="shared" si="58"/>
        <v>19.2253653155004</v>
      </c>
      <c r="H10311" s="12">
        <f t="shared" si="59"/>
        <v>23.1407902381997</v>
      </c>
      <c r="I10311" s="12">
        <f t="shared" si="65"/>
        <v>157.649999999999</v>
      </c>
      <c r="J10311" s="12">
        <f t="shared" si="61"/>
        <v>19.2253653155004</v>
      </c>
      <c r="K10311" s="12">
        <f t="shared" si="62"/>
        <v>23.1407902381997</v>
      </c>
    </row>
    <row r="10312" spans="1:11">
      <c r="A10312">
        <f t="shared" si="63"/>
        <v>311</v>
      </c>
      <c r="B10312">
        <f t="shared" si="55"/>
        <v>31.8408854348576</v>
      </c>
      <c r="C10312">
        <f t="shared" si="56"/>
        <v>10.6793562966584</v>
      </c>
      <c r="F10312" s="12">
        <f t="shared" si="64"/>
        <v>157.724999999999</v>
      </c>
      <c r="G10312" s="12">
        <f t="shared" si="58"/>
        <v>19.2238744021274</v>
      </c>
      <c r="H10312" s="12">
        <f t="shared" si="59"/>
        <v>23.1371572735716</v>
      </c>
      <c r="I10312" s="12">
        <f t="shared" si="65"/>
        <v>157.724999999999</v>
      </c>
      <c r="J10312" s="12">
        <f t="shared" si="61"/>
        <v>19.2238744021274</v>
      </c>
      <c r="K10312" s="12">
        <f t="shared" si="62"/>
        <v>23.1371572735716</v>
      </c>
    </row>
    <row r="10313" spans="1:11">
      <c r="A10313">
        <f t="shared" si="63"/>
        <v>312</v>
      </c>
      <c r="B10313">
        <f t="shared" si="55"/>
        <v>32.0369590953829</v>
      </c>
      <c r="C10313">
        <f t="shared" si="56"/>
        <v>10.8528276178391</v>
      </c>
      <c r="F10313" s="12">
        <f t="shared" si="64"/>
        <v>157.799999999999</v>
      </c>
      <c r="G10313" s="12">
        <f t="shared" si="58"/>
        <v>19.22238824557</v>
      </c>
      <c r="H10313" s="12">
        <f t="shared" si="59"/>
        <v>23.1335223604555</v>
      </c>
      <c r="I10313" s="12">
        <f t="shared" si="65"/>
        <v>157.799999999999</v>
      </c>
      <c r="J10313" s="12">
        <f t="shared" si="61"/>
        <v>19.22238824557</v>
      </c>
      <c r="K10313" s="12">
        <f t="shared" si="62"/>
        <v>23.1335223604555</v>
      </c>
    </row>
    <row r="10314" spans="1:11">
      <c r="A10314">
        <f t="shared" si="63"/>
        <v>313</v>
      </c>
      <c r="B10314">
        <f t="shared" si="55"/>
        <v>32.2299754009375</v>
      </c>
      <c r="C10314">
        <f t="shared" si="56"/>
        <v>11.0296944757124</v>
      </c>
      <c r="F10314" s="12">
        <f t="shared" si="64"/>
        <v>157.874999999999</v>
      </c>
      <c r="G10314" s="12">
        <f t="shared" si="58"/>
        <v>19.2209068483747</v>
      </c>
      <c r="H10314" s="12">
        <f t="shared" si="59"/>
        <v>23.1298855050797</v>
      </c>
      <c r="I10314" s="12">
        <f t="shared" si="65"/>
        <v>157.874999999999</v>
      </c>
      <c r="J10314" s="12">
        <f t="shared" si="61"/>
        <v>19.2209068483747</v>
      </c>
      <c r="K10314" s="12">
        <f t="shared" si="62"/>
        <v>23.1298855050797</v>
      </c>
    </row>
    <row r="10315" spans="1:11">
      <c r="A10315">
        <f t="shared" si="63"/>
        <v>314</v>
      </c>
      <c r="B10315">
        <f t="shared" si="55"/>
        <v>32.419875556885</v>
      </c>
      <c r="C10315">
        <f t="shared" si="56"/>
        <v>11.2099029949202</v>
      </c>
      <c r="F10315" s="12">
        <f t="shared" si="64"/>
        <v>157.949999999999</v>
      </c>
      <c r="G10315" s="12">
        <f t="shared" si="58"/>
        <v>19.2194302130797</v>
      </c>
      <c r="H10315" s="12">
        <f t="shared" si="59"/>
        <v>23.1262467136759</v>
      </c>
      <c r="I10315" s="12">
        <f t="shared" si="65"/>
        <v>157.949999999999</v>
      </c>
      <c r="J10315" s="12">
        <f t="shared" si="61"/>
        <v>19.2194302130797</v>
      </c>
      <c r="K10315" s="12">
        <f t="shared" si="62"/>
        <v>23.1262467136759</v>
      </c>
    </row>
    <row r="10316" spans="1:11">
      <c r="A10316">
        <f t="shared" si="63"/>
        <v>315</v>
      </c>
      <c r="B10316">
        <f t="shared" si="55"/>
        <v>32.6066017177982</v>
      </c>
      <c r="C10316">
        <f t="shared" si="56"/>
        <v>11.3933982822018</v>
      </c>
      <c r="F10316" s="12">
        <f t="shared" si="64"/>
        <v>158.024999999999</v>
      </c>
      <c r="G10316" s="12">
        <f t="shared" si="58"/>
        <v>19.2179583422152</v>
      </c>
      <c r="H10316" s="12">
        <f t="shared" si="59"/>
        <v>23.1226059924791</v>
      </c>
      <c r="I10316" s="12">
        <f t="shared" si="65"/>
        <v>158.024999999999</v>
      </c>
      <c r="J10316" s="12">
        <f t="shared" si="61"/>
        <v>19.2179583422152</v>
      </c>
      <c r="K10316" s="12">
        <f t="shared" si="62"/>
        <v>23.1226059924791</v>
      </c>
    </row>
    <row r="10317" spans="1:11">
      <c r="A10317">
        <f t="shared" si="63"/>
        <v>316</v>
      </c>
      <c r="B10317">
        <f t="shared" si="55"/>
        <v>32.7900970050798</v>
      </c>
      <c r="C10317">
        <f t="shared" si="56"/>
        <v>11.580124443115</v>
      </c>
      <c r="F10317" s="12">
        <f t="shared" si="64"/>
        <v>158.099999999999</v>
      </c>
      <c r="G10317" s="12">
        <f t="shared" si="58"/>
        <v>19.2164912383033</v>
      </c>
      <c r="H10317" s="12">
        <f t="shared" si="59"/>
        <v>23.1189633477275</v>
      </c>
      <c r="I10317" s="12">
        <f t="shared" si="65"/>
        <v>158.099999999999</v>
      </c>
      <c r="J10317" s="12">
        <f t="shared" si="61"/>
        <v>19.2164912383033</v>
      </c>
      <c r="K10317" s="12">
        <f t="shared" si="62"/>
        <v>23.1189633477275</v>
      </c>
    </row>
    <row r="10318" spans="1:11">
      <c r="A10318">
        <f t="shared" si="63"/>
        <v>317</v>
      </c>
      <c r="B10318">
        <f t="shared" si="55"/>
        <v>32.9703055242876</v>
      </c>
      <c r="C10318">
        <f t="shared" si="56"/>
        <v>11.7700245990625</v>
      </c>
      <c r="F10318" s="12">
        <f t="shared" si="64"/>
        <v>158.174999999999</v>
      </c>
      <c r="G10318" s="12">
        <f t="shared" si="58"/>
        <v>19.2150289038577</v>
      </c>
      <c r="H10318" s="12">
        <f t="shared" si="59"/>
        <v>23.1153187856627</v>
      </c>
      <c r="I10318" s="12">
        <f t="shared" si="65"/>
        <v>158.174999999999</v>
      </c>
      <c r="J10318" s="12">
        <f t="shared" si="61"/>
        <v>19.2150289038577</v>
      </c>
      <c r="K10318" s="12">
        <f t="shared" si="62"/>
        <v>23.1153187856627</v>
      </c>
    </row>
    <row r="10319" spans="1:11">
      <c r="A10319">
        <f t="shared" si="63"/>
        <v>318</v>
      </c>
      <c r="B10319">
        <f t="shared" si="55"/>
        <v>33.1471723821609</v>
      </c>
      <c r="C10319">
        <f t="shared" si="56"/>
        <v>11.9630409046171</v>
      </c>
      <c r="F10319" s="12">
        <f t="shared" si="64"/>
        <v>158.249999999999</v>
      </c>
      <c r="G10319" s="12">
        <f t="shared" si="58"/>
        <v>19.2135713413843</v>
      </c>
      <c r="H10319" s="12">
        <f t="shared" si="59"/>
        <v>23.1116723125296</v>
      </c>
      <c r="I10319" s="12">
        <f t="shared" si="65"/>
        <v>158.249999999999</v>
      </c>
      <c r="J10319" s="12">
        <f t="shared" si="61"/>
        <v>19.2135713413843</v>
      </c>
      <c r="K10319" s="12">
        <f t="shared" si="62"/>
        <v>23.1116723125296</v>
      </c>
    </row>
    <row r="10320" spans="1:11">
      <c r="A10320">
        <f t="shared" si="63"/>
        <v>319</v>
      </c>
      <c r="B10320">
        <f t="shared" si="55"/>
        <v>33.3206437033416</v>
      </c>
      <c r="C10320">
        <f t="shared" si="56"/>
        <v>12.1591145651424</v>
      </c>
      <c r="F10320" s="12">
        <f t="shared" si="64"/>
        <v>158.324999999999</v>
      </c>
      <c r="G10320" s="12">
        <f t="shared" si="58"/>
        <v>19.2121185533803</v>
      </c>
      <c r="H10320" s="12">
        <f t="shared" si="59"/>
        <v>23.1080239345762</v>
      </c>
      <c r="I10320" s="12">
        <f t="shared" si="65"/>
        <v>158.324999999999</v>
      </c>
      <c r="J10320" s="12">
        <f t="shared" si="61"/>
        <v>19.2121185533803</v>
      </c>
      <c r="K10320" s="12">
        <f t="shared" si="62"/>
        <v>23.1080239345762</v>
      </c>
    </row>
    <row r="10321" spans="1:11">
      <c r="A10321">
        <f t="shared" si="63"/>
        <v>320</v>
      </c>
      <c r="B10321">
        <f t="shared" ref="B10321:B10361" si="66">COS(A10321/180*PI())*$E$10001+$E$10002</f>
        <v>33.4906666467847</v>
      </c>
      <c r="C10321">
        <f t="shared" ref="C10321:C10361" si="67">SIN(A10321/180*PI())*$E$10001+$E$10003</f>
        <v>12.3581858547019</v>
      </c>
      <c r="F10321" s="12">
        <f t="shared" si="64"/>
        <v>158.399999999999</v>
      </c>
      <c r="G10321" s="12">
        <f t="shared" si="58"/>
        <v>19.2106705423353</v>
      </c>
      <c r="H10321" s="12">
        <f t="shared" si="59"/>
        <v>23.1043736580541</v>
      </c>
      <c r="I10321" s="12">
        <f t="shared" si="65"/>
        <v>158.399999999999</v>
      </c>
      <c r="J10321" s="12">
        <f t="shared" si="61"/>
        <v>19.2106705423353</v>
      </c>
      <c r="K10321" s="12">
        <f t="shared" si="62"/>
        <v>23.1043736580541</v>
      </c>
    </row>
    <row r="10322" spans="1:11">
      <c r="A10322">
        <f t="shared" si="63"/>
        <v>321</v>
      </c>
      <c r="B10322">
        <f t="shared" si="66"/>
        <v>33.6571894218546</v>
      </c>
      <c r="C10322">
        <f t="shared" si="67"/>
        <v>12.5601941342524</v>
      </c>
      <c r="F10322" s="12">
        <f t="shared" si="64"/>
        <v>158.474999999999</v>
      </c>
      <c r="G10322" s="12">
        <f t="shared" si="58"/>
        <v>19.2092273107302</v>
      </c>
      <c r="H10322" s="12">
        <f t="shared" si="59"/>
        <v>23.1007214892178</v>
      </c>
      <c r="I10322" s="12">
        <f t="shared" si="65"/>
        <v>158.474999999999</v>
      </c>
      <c r="J10322" s="12">
        <f t="shared" si="61"/>
        <v>19.2092273107302</v>
      </c>
      <c r="K10322" s="12">
        <f t="shared" si="62"/>
        <v>23.1007214892178</v>
      </c>
    </row>
    <row r="10323" spans="1:11">
      <c r="A10323">
        <f t="shared" si="63"/>
        <v>322</v>
      </c>
      <c r="B10323">
        <f t="shared" si="66"/>
        <v>33.8201613041008</v>
      </c>
      <c r="C10323">
        <f t="shared" si="67"/>
        <v>12.7650778701151</v>
      </c>
      <c r="F10323" s="12">
        <f t="shared" si="64"/>
        <v>158.549999999999</v>
      </c>
      <c r="G10323" s="12">
        <f t="shared" si="58"/>
        <v>19.2077888610381</v>
      </c>
      <c r="H10323" s="12">
        <f t="shared" si="59"/>
        <v>23.0970674343252</v>
      </c>
      <c r="I10323" s="12">
        <f t="shared" si="65"/>
        <v>158.549999999999</v>
      </c>
      <c r="J10323" s="12">
        <f t="shared" si="61"/>
        <v>19.2077888610381</v>
      </c>
      <c r="K10323" s="12">
        <f t="shared" si="62"/>
        <v>23.0970674343252</v>
      </c>
    </row>
    <row r="10324" spans="1:11">
      <c r="A10324">
        <f t="shared" si="63"/>
        <v>323</v>
      </c>
      <c r="B10324">
        <f t="shared" si="66"/>
        <v>33.9795326507094</v>
      </c>
      <c r="C10324">
        <f t="shared" si="67"/>
        <v>12.9727746527193</v>
      </c>
      <c r="F10324" s="12">
        <f t="shared" si="64"/>
        <v>158.624999999999</v>
      </c>
      <c r="G10324" s="12">
        <f t="shared" si="58"/>
        <v>19.2063551957236</v>
      </c>
      <c r="H10324" s="12">
        <f t="shared" si="59"/>
        <v>23.0934114996375</v>
      </c>
      <c r="I10324" s="12">
        <f t="shared" si="65"/>
        <v>158.624999999999</v>
      </c>
      <c r="J10324" s="12">
        <f t="shared" si="61"/>
        <v>19.2063551957236</v>
      </c>
      <c r="K10324" s="12">
        <f t="shared" si="62"/>
        <v>23.0934114996375</v>
      </c>
    </row>
    <row r="10325" spans="1:11">
      <c r="A10325">
        <f t="shared" si="63"/>
        <v>324</v>
      </c>
      <c r="B10325">
        <f t="shared" si="66"/>
        <v>34.1352549156242</v>
      </c>
      <c r="C10325">
        <f t="shared" si="67"/>
        <v>13.1832212156129</v>
      </c>
      <c r="F10325" s="12">
        <f t="shared" si="64"/>
        <v>158.699999999999</v>
      </c>
      <c r="G10325" s="12">
        <f t="shared" si="58"/>
        <v>19.2049263172434</v>
      </c>
      <c r="H10325" s="12">
        <f t="shared" si="59"/>
        <v>23.089753691419</v>
      </c>
      <c r="I10325" s="12">
        <f t="shared" si="65"/>
        <v>158.699999999999</v>
      </c>
      <c r="J10325" s="12">
        <f t="shared" si="61"/>
        <v>19.2049263172434</v>
      </c>
      <c r="K10325" s="12">
        <f t="shared" si="62"/>
        <v>23.089753691419</v>
      </c>
    </row>
    <row r="10326" spans="1:11">
      <c r="A10326">
        <f t="shared" si="63"/>
        <v>325</v>
      </c>
      <c r="B10326">
        <f t="shared" si="66"/>
        <v>34.2872806643349</v>
      </c>
      <c r="C10326">
        <f t="shared" si="67"/>
        <v>13.3963534547343</v>
      </c>
      <c r="F10326" s="12">
        <f t="shared" si="64"/>
        <v>158.774999999999</v>
      </c>
      <c r="G10326" s="12">
        <f t="shared" si="58"/>
        <v>19.2035022280457</v>
      </c>
      <c r="H10326" s="12">
        <f t="shared" si="59"/>
        <v>23.0860940159372</v>
      </c>
      <c r="I10326" s="12">
        <f t="shared" si="65"/>
        <v>158.774999999999</v>
      </c>
      <c r="J10326" s="12">
        <f t="shared" si="61"/>
        <v>19.2035022280457</v>
      </c>
      <c r="K10326" s="12">
        <f t="shared" si="62"/>
        <v>23.0860940159372</v>
      </c>
    </row>
    <row r="10327" spans="1:11">
      <c r="A10327">
        <f t="shared" si="63"/>
        <v>326</v>
      </c>
      <c r="B10327">
        <f t="shared" si="66"/>
        <v>34.4355635883256</v>
      </c>
      <c r="C10327">
        <f t="shared" si="67"/>
        <v>13.6121064479388</v>
      </c>
      <c r="F10327" s="12">
        <f t="shared" si="64"/>
        <v>158.849999999999</v>
      </c>
      <c r="G10327" s="12">
        <f t="shared" si="58"/>
        <v>19.2020829305707</v>
      </c>
      <c r="H10327" s="12">
        <f t="shared" si="59"/>
        <v>23.082432479463</v>
      </c>
      <c r="I10327" s="12">
        <f t="shared" si="65"/>
        <v>158.849999999999</v>
      </c>
      <c r="J10327" s="12">
        <f t="shared" si="61"/>
        <v>19.2020829305707</v>
      </c>
      <c r="K10327" s="12">
        <f t="shared" si="62"/>
        <v>23.082432479463</v>
      </c>
    </row>
    <row r="10328" spans="1:11">
      <c r="A10328">
        <f t="shared" si="63"/>
        <v>327</v>
      </c>
      <c r="B10328">
        <f t="shared" si="66"/>
        <v>34.5800585191814</v>
      </c>
      <c r="C10328">
        <f t="shared" si="67"/>
        <v>13.8304144747746</v>
      </c>
      <c r="F10328" s="12">
        <f t="shared" si="64"/>
        <v>158.924999999999</v>
      </c>
      <c r="G10328" s="12">
        <f t="shared" si="58"/>
        <v>19.2006684272504</v>
      </c>
      <c r="H10328" s="12">
        <f t="shared" si="59"/>
        <v>23.0787690882702</v>
      </c>
      <c r="I10328" s="12">
        <f t="shared" si="65"/>
        <v>158.924999999999</v>
      </c>
      <c r="J10328" s="12">
        <f t="shared" si="61"/>
        <v>19.2006684272504</v>
      </c>
      <c r="K10328" s="12">
        <f t="shared" si="62"/>
        <v>23.0787690882702</v>
      </c>
    </row>
    <row r="10329" spans="1:11">
      <c r="A10329">
        <f t="shared" si="63"/>
        <v>328</v>
      </c>
      <c r="B10329">
        <f t="shared" si="66"/>
        <v>34.7207214423464</v>
      </c>
      <c r="C10329">
        <f t="shared" si="67"/>
        <v>14.0512110365019</v>
      </c>
      <c r="F10329" s="12">
        <f t="shared" si="64"/>
        <v>158.999999999999</v>
      </c>
      <c r="G10329" s="12">
        <f t="shared" si="58"/>
        <v>19.1992587205084</v>
      </c>
      <c r="H10329" s="12">
        <f t="shared" si="59"/>
        <v>23.075103848636</v>
      </c>
      <c r="I10329" s="12">
        <f t="shared" si="65"/>
        <v>158.999999999999</v>
      </c>
      <c r="J10329" s="12">
        <f t="shared" si="61"/>
        <v>19.1992587205084</v>
      </c>
      <c r="K10329" s="12">
        <f t="shared" si="62"/>
        <v>23.075103848636</v>
      </c>
    </row>
    <row r="10330" spans="1:11">
      <c r="A10330">
        <f t="shared" si="63"/>
        <v>329</v>
      </c>
      <c r="B10330">
        <f t="shared" si="66"/>
        <v>34.8575095105317</v>
      </c>
      <c r="C10330">
        <f t="shared" si="67"/>
        <v>14.2744288763492</v>
      </c>
      <c r="F10330" s="12">
        <f t="shared" si="64"/>
        <v>159.074999999999</v>
      </c>
      <c r="G10330" s="12">
        <f t="shared" si="58"/>
        <v>19.1978538127603</v>
      </c>
      <c r="H10330" s="12">
        <f t="shared" si="59"/>
        <v>23.0714367668406</v>
      </c>
      <c r="I10330" s="12">
        <f t="shared" si="65"/>
        <v>159.074999999999</v>
      </c>
      <c r="J10330" s="12">
        <f t="shared" si="61"/>
        <v>19.1978538127603</v>
      </c>
      <c r="K10330" s="12">
        <f t="shared" si="62"/>
        <v>23.0714367668406</v>
      </c>
    </row>
    <row r="10331" spans="1:11">
      <c r="A10331">
        <f t="shared" si="63"/>
        <v>330</v>
      </c>
      <c r="B10331">
        <f t="shared" si="66"/>
        <v>34.9903810567666</v>
      </c>
      <c r="C10331">
        <f t="shared" si="67"/>
        <v>14.5</v>
      </c>
      <c r="F10331" s="12">
        <f t="shared" si="64"/>
        <v>159.149999999999</v>
      </c>
      <c r="G10331" s="12">
        <f t="shared" si="58"/>
        <v>19.1964537064132</v>
      </c>
      <c r="H10331" s="12">
        <f t="shared" si="59"/>
        <v>23.0677678491675</v>
      </c>
      <c r="I10331" s="12">
        <f t="shared" si="65"/>
        <v>159.149999999999</v>
      </c>
      <c r="J10331" s="12">
        <f t="shared" si="61"/>
        <v>19.1964537064132</v>
      </c>
      <c r="K10331" s="12">
        <f t="shared" si="62"/>
        <v>23.0677678491675</v>
      </c>
    </row>
    <row r="10332" spans="1:11">
      <c r="A10332">
        <f t="shared" si="63"/>
        <v>331</v>
      </c>
      <c r="B10332">
        <f t="shared" si="66"/>
        <v>35.1192956070909</v>
      </c>
      <c r="C10332">
        <f t="shared" si="67"/>
        <v>14.7278556963049</v>
      </c>
      <c r="F10332" s="12">
        <f t="shared" si="64"/>
        <v>159.224999999999</v>
      </c>
      <c r="G10332" s="12">
        <f t="shared" si="58"/>
        <v>19.1950584038663</v>
      </c>
      <c r="H10332" s="12">
        <f t="shared" si="59"/>
        <v>23.0640971019034</v>
      </c>
      <c r="I10332" s="12">
        <f t="shared" si="65"/>
        <v>159.224999999999</v>
      </c>
      <c r="J10332" s="12">
        <f t="shared" si="61"/>
        <v>19.1950584038663</v>
      </c>
      <c r="K10332" s="12">
        <f t="shared" si="62"/>
        <v>23.0640971019034</v>
      </c>
    </row>
    <row r="10333" spans="1:11">
      <c r="A10333">
        <f t="shared" si="63"/>
        <v>332</v>
      </c>
      <c r="B10333">
        <f t="shared" si="66"/>
        <v>35.2442138928839</v>
      </c>
      <c r="C10333">
        <f t="shared" si="67"/>
        <v>14.9579265582116</v>
      </c>
      <c r="F10333" s="12">
        <f t="shared" si="64"/>
        <v>159.299999999999</v>
      </c>
      <c r="G10333" s="12">
        <f t="shared" si="58"/>
        <v>19.1936679075104</v>
      </c>
      <c r="H10333" s="12">
        <f t="shared" si="59"/>
        <v>23.0604245313378</v>
      </c>
      <c r="I10333" s="12">
        <f t="shared" si="65"/>
        <v>159.299999999999</v>
      </c>
      <c r="J10333" s="12">
        <f t="shared" si="61"/>
        <v>19.1936679075104</v>
      </c>
      <c r="K10333" s="12">
        <f t="shared" si="62"/>
        <v>23.0604245313378</v>
      </c>
    </row>
    <row r="10334" spans="1:11">
      <c r="A10334">
        <f t="shared" si="63"/>
        <v>333</v>
      </c>
      <c r="B10334">
        <f t="shared" si="66"/>
        <v>35.3650978628255</v>
      </c>
      <c r="C10334">
        <f t="shared" si="67"/>
        <v>15.1901425039068</v>
      </c>
      <c r="F10334" s="12">
        <f t="shared" si="64"/>
        <v>159.374999999999</v>
      </c>
      <c r="G10334" s="12">
        <f t="shared" si="58"/>
        <v>19.192282219728</v>
      </c>
      <c r="H10334" s="12">
        <f t="shared" si="59"/>
        <v>23.0567501437638</v>
      </c>
      <c r="I10334" s="12">
        <f t="shared" si="65"/>
        <v>159.374999999999</v>
      </c>
      <c r="J10334" s="12">
        <f t="shared" si="61"/>
        <v>19.192282219728</v>
      </c>
      <c r="K10334" s="12">
        <f t="shared" si="62"/>
        <v>23.0567501437638</v>
      </c>
    </row>
    <row r="10335" spans="1:11">
      <c r="A10335">
        <f t="shared" si="63"/>
        <v>334</v>
      </c>
      <c r="B10335">
        <f t="shared" si="66"/>
        <v>35.4819106944875</v>
      </c>
      <c r="C10335">
        <f t="shared" si="67"/>
        <v>15.4244327981638</v>
      </c>
      <c r="F10335" s="12">
        <f t="shared" si="64"/>
        <v>159.449999999999</v>
      </c>
      <c r="G10335" s="12">
        <f t="shared" si="58"/>
        <v>19.1909013428936</v>
      </c>
      <c r="H10335" s="12">
        <f t="shared" si="59"/>
        <v>23.0530739454771</v>
      </c>
      <c r="I10335" s="12">
        <f t="shared" si="65"/>
        <v>159.449999999999</v>
      </c>
      <c r="J10335" s="12">
        <f t="shared" si="61"/>
        <v>19.1909013428936</v>
      </c>
      <c r="K10335" s="12">
        <f t="shared" si="62"/>
        <v>23.0530739454771</v>
      </c>
    </row>
    <row r="10336" spans="1:11">
      <c r="A10336">
        <f t="shared" si="63"/>
        <v>335</v>
      </c>
      <c r="B10336">
        <f t="shared" si="66"/>
        <v>35.5946168055497</v>
      </c>
      <c r="C10336">
        <f t="shared" si="67"/>
        <v>15.6607260738895</v>
      </c>
      <c r="F10336" s="12">
        <f t="shared" si="64"/>
        <v>159.524999999999</v>
      </c>
      <c r="G10336" s="12">
        <f t="shared" si="58"/>
        <v>19.189525279373</v>
      </c>
      <c r="H10336" s="12">
        <f t="shared" si="59"/>
        <v>23.049395942777</v>
      </c>
      <c r="I10336" s="12">
        <f t="shared" si="65"/>
        <v>159.524999999999</v>
      </c>
      <c r="J10336" s="12">
        <f t="shared" si="61"/>
        <v>19.189525279373</v>
      </c>
      <c r="K10336" s="12">
        <f t="shared" si="62"/>
        <v>23.049395942777</v>
      </c>
    </row>
    <row r="10337" spans="1:11">
      <c r="A10337">
        <f t="shared" si="63"/>
        <v>336</v>
      </c>
      <c r="B10337">
        <f t="shared" si="66"/>
        <v>35.703181864639</v>
      </c>
      <c r="C10337">
        <f t="shared" si="67"/>
        <v>15.898950353863</v>
      </c>
      <c r="F10337" s="12">
        <f t="shared" si="64"/>
        <v>159.599999999999</v>
      </c>
      <c r="G10337" s="12">
        <f t="shared" si="58"/>
        <v>19.1881540315244</v>
      </c>
      <c r="H10337" s="12">
        <f t="shared" si="59"/>
        <v>23.0457161419655</v>
      </c>
      <c r="I10337" s="12">
        <f t="shared" si="65"/>
        <v>159.599999999999</v>
      </c>
      <c r="J10337" s="12">
        <f t="shared" si="61"/>
        <v>19.1881540315244</v>
      </c>
      <c r="K10337" s="12">
        <f t="shared" si="62"/>
        <v>23.0457161419655</v>
      </c>
    </row>
    <row r="10338" spans="1:11">
      <c r="A10338">
        <f t="shared" si="63"/>
        <v>337</v>
      </c>
      <c r="B10338">
        <f t="shared" si="66"/>
        <v>35.8075728017866</v>
      </c>
      <c r="C10338">
        <f t="shared" si="67"/>
        <v>16.1390330726609</v>
      </c>
      <c r="F10338" s="12">
        <f t="shared" ref="F10338:F10369" si="68">MOD(F10337-$E$10006*$H$10207,360)</f>
        <v>159.674999999999</v>
      </c>
      <c r="G10338" s="12">
        <f t="shared" ref="G10338:G10401" si="69">COS(F10338/180*PI())*$E$10001*$R$10017+$E$10002</f>
        <v>19.1867876016971</v>
      </c>
      <c r="H10338" s="12">
        <f t="shared" ref="H10338:H10401" si="70">SIN(F10338/180*PI())*$E$10001*$R$10017+$E$10003</f>
        <v>23.0420345493479</v>
      </c>
      <c r="I10338" s="12">
        <f t="shared" ref="I10338:I10369" si="71">MOD(I10337-$E$10006*$K$10207,360)</f>
        <v>159.674999999999</v>
      </c>
      <c r="J10338" s="12">
        <f t="shared" ref="J10338:J10401" si="72">COS(I10338/180*PI())*$E$10001*$R$10021+$E$10002</f>
        <v>19.1867876016971</v>
      </c>
      <c r="K10338" s="12">
        <f t="shared" ref="K10338:K10401" si="73">SIN(I10338/180*PI())*$E$10001*$R$10021+$E$10003</f>
        <v>23.0420345493479</v>
      </c>
    </row>
    <row r="10339" spans="1:11">
      <c r="A10339">
        <f t="shared" si="63"/>
        <v>338</v>
      </c>
      <c r="B10339">
        <f t="shared" si="66"/>
        <v>35.9077578185018</v>
      </c>
      <c r="C10339">
        <f t="shared" si="67"/>
        <v>16.3809010987613</v>
      </c>
      <c r="F10339" s="12">
        <f t="shared" si="68"/>
        <v>159.749999999999</v>
      </c>
      <c r="G10339" s="12">
        <f t="shared" si="69"/>
        <v>19.1854259922326</v>
      </c>
      <c r="H10339" s="12">
        <f t="shared" si="70"/>
        <v>23.0383511712326</v>
      </c>
      <c r="I10339" s="12">
        <f t="shared" si="71"/>
        <v>159.749999999999</v>
      </c>
      <c r="J10339" s="12">
        <f t="shared" si="72"/>
        <v>19.1854259922326</v>
      </c>
      <c r="K10339" s="12">
        <f t="shared" si="73"/>
        <v>23.0383511712326</v>
      </c>
    </row>
    <row r="10340" spans="1:11">
      <c r="A10340">
        <f t="shared" si="63"/>
        <v>339</v>
      </c>
      <c r="B10340">
        <f t="shared" si="66"/>
        <v>36.003706397458</v>
      </c>
      <c r="C10340">
        <f t="shared" si="67"/>
        <v>16.6244807568205</v>
      </c>
      <c r="F10340" s="12">
        <f t="shared" si="68"/>
        <v>159.824999999999</v>
      </c>
      <c r="G10340" s="12">
        <f t="shared" si="69"/>
        <v>19.1840692054639</v>
      </c>
      <c r="H10340" s="12">
        <f t="shared" si="70"/>
        <v>23.0346660139307</v>
      </c>
      <c r="I10340" s="12">
        <f t="shared" si="71"/>
        <v>159.824999999999</v>
      </c>
      <c r="J10340" s="12">
        <f t="shared" si="72"/>
        <v>19.1840692054639</v>
      </c>
      <c r="K10340" s="12">
        <f t="shared" si="73"/>
        <v>23.0346660139307</v>
      </c>
    </row>
    <row r="10341" spans="1:11">
      <c r="A10341">
        <f t="shared" si="63"/>
        <v>340</v>
      </c>
      <c r="B10341">
        <f t="shared" si="66"/>
        <v>36.0953893117886</v>
      </c>
      <c r="C10341">
        <f t="shared" si="67"/>
        <v>16.869697850115</v>
      </c>
      <c r="F10341" s="12">
        <f t="shared" si="68"/>
        <v>159.899999999998</v>
      </c>
      <c r="G10341" s="12">
        <f t="shared" si="69"/>
        <v>19.1827172437159</v>
      </c>
      <c r="H10341" s="12">
        <f t="shared" si="70"/>
        <v>23.0309790837569</v>
      </c>
      <c r="I10341" s="12">
        <f t="shared" si="71"/>
        <v>159.899999999998</v>
      </c>
      <c r="J10341" s="12">
        <f t="shared" si="72"/>
        <v>19.1827172437159</v>
      </c>
      <c r="K10341" s="12">
        <f t="shared" si="73"/>
        <v>23.0309790837569</v>
      </c>
    </row>
    <row r="10342" spans="1:11">
      <c r="A10342">
        <f t="shared" si="63"/>
        <v>341</v>
      </c>
      <c r="B10342">
        <f t="shared" si="66"/>
        <v>36.1827786339898</v>
      </c>
      <c r="C10342">
        <f t="shared" si="67"/>
        <v>17.1164776831426</v>
      </c>
      <c r="F10342" s="12">
        <f t="shared" si="68"/>
        <v>159.974999999998</v>
      </c>
      <c r="G10342" s="12">
        <f t="shared" si="69"/>
        <v>19.1813701093051</v>
      </c>
      <c r="H10342" s="12">
        <f t="shared" si="70"/>
        <v>23.0272903870285</v>
      </c>
      <c r="I10342" s="12">
        <f t="shared" si="71"/>
        <v>159.974999999998</v>
      </c>
      <c r="J10342" s="12">
        <f t="shared" si="72"/>
        <v>19.1813701093051</v>
      </c>
      <c r="K10342" s="12">
        <f t="shared" si="73"/>
        <v>23.0272903870285</v>
      </c>
    </row>
    <row r="10343" spans="1:11">
      <c r="A10343">
        <f t="shared" ref="A10343:A10361" si="74">A10342+1</f>
        <v>342</v>
      </c>
      <c r="B10343">
        <f t="shared" si="66"/>
        <v>36.2658477444273</v>
      </c>
      <c r="C10343">
        <f t="shared" si="67"/>
        <v>17.3647450843758</v>
      </c>
      <c r="F10343" s="12">
        <f t="shared" si="68"/>
        <v>160.049999999998</v>
      </c>
      <c r="G10343" s="12">
        <f t="shared" si="69"/>
        <v>19.1800278045398</v>
      </c>
      <c r="H10343" s="12">
        <f t="shared" si="70"/>
        <v>23.0235999300661</v>
      </c>
      <c r="I10343" s="12">
        <f t="shared" si="71"/>
        <v>160.049999999998</v>
      </c>
      <c r="J10343" s="12">
        <f t="shared" si="72"/>
        <v>19.1800278045398</v>
      </c>
      <c r="K10343" s="12">
        <f t="shared" si="73"/>
        <v>23.0235999300661</v>
      </c>
    </row>
    <row r="10344" spans="1:11">
      <c r="A10344">
        <f t="shared" si="74"/>
        <v>343</v>
      </c>
      <c r="B10344">
        <f t="shared" si="66"/>
        <v>36.3445713394455</v>
      </c>
      <c r="C10344">
        <f t="shared" si="67"/>
        <v>17.6144244291589</v>
      </c>
      <c r="F10344" s="12">
        <f t="shared" si="68"/>
        <v>160.124999999998</v>
      </c>
      <c r="G10344" s="12">
        <f t="shared" si="69"/>
        <v>19.17869033172</v>
      </c>
      <c r="H10344" s="12">
        <f t="shared" si="70"/>
        <v>23.0199077191931</v>
      </c>
      <c r="I10344" s="12">
        <f t="shared" si="71"/>
        <v>160.124999999998</v>
      </c>
      <c r="J10344" s="12">
        <f t="shared" si="72"/>
        <v>19.17869033172</v>
      </c>
      <c r="K10344" s="12">
        <f t="shared" si="73"/>
        <v>23.0199077191931</v>
      </c>
    </row>
    <row r="10345" spans="1:11">
      <c r="A10345">
        <f t="shared" si="74"/>
        <v>344</v>
      </c>
      <c r="B10345">
        <f t="shared" si="66"/>
        <v>36.4189254390748</v>
      </c>
      <c r="C10345">
        <f t="shared" si="67"/>
        <v>17.865439662745</v>
      </c>
      <c r="F10345" s="12">
        <f t="shared" si="68"/>
        <v>160.199999999998</v>
      </c>
      <c r="G10345" s="12">
        <f t="shared" si="69"/>
        <v>19.1773576931374</v>
      </c>
      <c r="H10345" s="12">
        <f t="shared" si="70"/>
        <v>23.016213760736</v>
      </c>
      <c r="I10345" s="12">
        <f t="shared" si="71"/>
        <v>160.199999999998</v>
      </c>
      <c r="J10345" s="12">
        <f t="shared" si="72"/>
        <v>19.1773576931374</v>
      </c>
      <c r="K10345" s="12">
        <f t="shared" si="73"/>
        <v>23.016213760736</v>
      </c>
    </row>
    <row r="10346" spans="1:11">
      <c r="A10346">
        <f t="shared" si="74"/>
        <v>345</v>
      </c>
      <c r="B10346">
        <f t="shared" si="66"/>
        <v>36.488887394336</v>
      </c>
      <c r="C10346">
        <f t="shared" si="67"/>
        <v>18.1177143234622</v>
      </c>
      <c r="F10346" s="12">
        <f t="shared" si="68"/>
        <v>160.274999999998</v>
      </c>
      <c r="G10346" s="12">
        <f t="shared" si="69"/>
        <v>19.1760298910754</v>
      </c>
      <c r="H10346" s="12">
        <f t="shared" si="70"/>
        <v>23.0125180610243</v>
      </c>
      <c r="I10346" s="12">
        <f t="shared" si="71"/>
        <v>160.274999999998</v>
      </c>
      <c r="J10346" s="12">
        <f t="shared" si="72"/>
        <v>19.1760298910754</v>
      </c>
      <c r="K10346" s="12">
        <f t="shared" si="73"/>
        <v>23.0125180610243</v>
      </c>
    </row>
    <row r="10347" spans="1:11">
      <c r="A10347">
        <f t="shared" si="74"/>
        <v>346</v>
      </c>
      <c r="B10347">
        <f t="shared" si="66"/>
        <v>36.5544358941399</v>
      </c>
      <c r="C10347">
        <f t="shared" si="67"/>
        <v>18.371171566005</v>
      </c>
      <c r="F10347" s="12">
        <f t="shared" si="68"/>
        <v>160.349999999998</v>
      </c>
      <c r="G10347" s="12">
        <f t="shared" si="69"/>
        <v>19.1747069278092</v>
      </c>
      <c r="H10347" s="12">
        <f t="shared" si="70"/>
        <v>23.0088206263905</v>
      </c>
      <c r="I10347" s="12">
        <f t="shared" si="71"/>
        <v>160.349999999998</v>
      </c>
      <c r="J10347" s="12">
        <f t="shared" si="72"/>
        <v>19.1747069278092</v>
      </c>
      <c r="K10347" s="12">
        <f t="shared" si="73"/>
        <v>23.0088206263905</v>
      </c>
    </row>
    <row r="10348" spans="1:11">
      <c r="A10348">
        <f t="shared" si="74"/>
        <v>347</v>
      </c>
      <c r="B10348">
        <f t="shared" si="66"/>
        <v>36.6155509717785</v>
      </c>
      <c r="C10348">
        <f t="shared" si="67"/>
        <v>18.625734184842</v>
      </c>
      <c r="F10348" s="12">
        <f t="shared" si="68"/>
        <v>160.424999999998</v>
      </c>
      <c r="G10348" s="12">
        <f t="shared" si="69"/>
        <v>19.1733888056057</v>
      </c>
      <c r="H10348" s="12">
        <f t="shared" si="70"/>
        <v>23.00512146317</v>
      </c>
      <c r="I10348" s="12">
        <f t="shared" si="71"/>
        <v>160.424999999998</v>
      </c>
      <c r="J10348" s="12">
        <f t="shared" si="72"/>
        <v>19.1733888056057</v>
      </c>
      <c r="K10348" s="12">
        <f t="shared" si="73"/>
        <v>23.00512146317</v>
      </c>
    </row>
    <row r="10349" spans="1:11">
      <c r="A10349">
        <f t="shared" si="74"/>
        <v>348</v>
      </c>
      <c r="B10349">
        <f t="shared" si="66"/>
        <v>36.6722140110071</v>
      </c>
      <c r="C10349">
        <f t="shared" si="67"/>
        <v>18.8813246377336</v>
      </c>
      <c r="F10349" s="12">
        <f t="shared" si="68"/>
        <v>160.499999999998</v>
      </c>
      <c r="G10349" s="12">
        <f t="shared" si="69"/>
        <v>19.1720755267235</v>
      </c>
      <c r="H10349" s="12">
        <f t="shared" si="70"/>
        <v>23.0014205777014</v>
      </c>
      <c r="I10349" s="12">
        <f t="shared" si="71"/>
        <v>160.499999999998</v>
      </c>
      <c r="J10349" s="12">
        <f t="shared" si="72"/>
        <v>19.1720755267235</v>
      </c>
      <c r="K10349" s="12">
        <f t="shared" si="73"/>
        <v>23.0014205777014</v>
      </c>
    </row>
    <row r="10350" spans="1:11">
      <c r="A10350">
        <f t="shared" si="74"/>
        <v>349</v>
      </c>
      <c r="B10350">
        <f t="shared" si="66"/>
        <v>36.724407751715</v>
      </c>
      <c r="C10350">
        <f t="shared" si="67"/>
        <v>19.1378650693518</v>
      </c>
      <c r="F10350" s="12">
        <f t="shared" si="68"/>
        <v>160.574999999998</v>
      </c>
      <c r="G10350" s="12">
        <f t="shared" si="69"/>
        <v>19.1707670934127</v>
      </c>
      <c r="H10350" s="12">
        <f t="shared" si="70"/>
        <v>22.9977179763259</v>
      </c>
      <c r="I10350" s="12">
        <f t="shared" si="71"/>
        <v>160.574999999998</v>
      </c>
      <c r="J10350" s="12">
        <f t="shared" si="72"/>
        <v>19.1707670934127</v>
      </c>
      <c r="K10350" s="12">
        <f t="shared" si="73"/>
        <v>22.9977179763259</v>
      </c>
    </row>
    <row r="10351" spans="1:11">
      <c r="A10351">
        <f t="shared" si="74"/>
        <v>350</v>
      </c>
      <c r="B10351">
        <f t="shared" si="66"/>
        <v>36.7721162951831</v>
      </c>
      <c r="C10351">
        <f t="shared" si="67"/>
        <v>19.395277334996</v>
      </c>
      <c r="F10351" s="12">
        <f t="shared" si="68"/>
        <v>160.649999999998</v>
      </c>
      <c r="G10351" s="12">
        <f t="shared" si="69"/>
        <v>19.1694635079154</v>
      </c>
      <c r="H10351" s="12">
        <f t="shared" si="70"/>
        <v>22.9940136653878</v>
      </c>
      <c r="I10351" s="12">
        <f t="shared" si="71"/>
        <v>160.649999999998</v>
      </c>
      <c r="J10351" s="12">
        <f t="shared" si="72"/>
        <v>19.1694635079154</v>
      </c>
      <c r="K10351" s="12">
        <f t="shared" si="73"/>
        <v>22.9940136653878</v>
      </c>
    </row>
    <row r="10352" spans="1:11">
      <c r="A10352">
        <f t="shared" si="74"/>
        <v>351</v>
      </c>
      <c r="B10352">
        <f t="shared" si="66"/>
        <v>36.8153251089271</v>
      </c>
      <c r="C10352">
        <f t="shared" si="67"/>
        <v>19.6534830243965</v>
      </c>
      <c r="F10352" s="12">
        <f t="shared" si="68"/>
        <v>160.724999999998</v>
      </c>
      <c r="G10352" s="12">
        <f t="shared" si="69"/>
        <v>19.1681647724653</v>
      </c>
      <c r="H10352" s="12">
        <f t="shared" si="70"/>
        <v>22.9903076512344</v>
      </c>
      <c r="I10352" s="12">
        <f t="shared" si="71"/>
        <v>160.724999999998</v>
      </c>
      <c r="J10352" s="12">
        <f t="shared" si="72"/>
        <v>19.1681647724653</v>
      </c>
      <c r="K10352" s="12">
        <f t="shared" si="73"/>
        <v>22.9903076512344</v>
      </c>
    </row>
    <row r="10353" spans="1:11">
      <c r="A10353">
        <f t="shared" si="74"/>
        <v>352</v>
      </c>
      <c r="B10353">
        <f t="shared" si="66"/>
        <v>36.8540210311236</v>
      </c>
      <c r="C10353">
        <f t="shared" si="67"/>
        <v>19.912403485599</v>
      </c>
      <c r="F10353" s="12">
        <f t="shared" si="68"/>
        <v>160.799999999998</v>
      </c>
      <c r="G10353" s="12">
        <f t="shared" si="69"/>
        <v>19.1668708892876</v>
      </c>
      <c r="H10353" s="12">
        <f t="shared" si="70"/>
        <v>22.9865999402158</v>
      </c>
      <c r="I10353" s="12">
        <f t="shared" si="71"/>
        <v>160.799999999998</v>
      </c>
      <c r="J10353" s="12">
        <f t="shared" si="72"/>
        <v>19.1668708892876</v>
      </c>
      <c r="K10353" s="12">
        <f t="shared" si="73"/>
        <v>22.9865999402158</v>
      </c>
    </row>
    <row r="10354" spans="1:11">
      <c r="A10354">
        <f t="shared" si="74"/>
        <v>353</v>
      </c>
      <c r="B10354">
        <f t="shared" si="66"/>
        <v>36.8881922746198</v>
      </c>
      <c r="C10354">
        <f t="shared" si="67"/>
        <v>20.1719598489228</v>
      </c>
      <c r="F10354" s="12">
        <f t="shared" si="68"/>
        <v>160.874999999998</v>
      </c>
      <c r="G10354" s="12">
        <f t="shared" si="69"/>
        <v>19.1655818605994</v>
      </c>
      <c r="H10354" s="12">
        <f t="shared" si="70"/>
        <v>22.9828905386852</v>
      </c>
      <c r="I10354" s="12">
        <f t="shared" si="71"/>
        <v>160.874999999998</v>
      </c>
      <c r="J10354" s="12">
        <f t="shared" si="72"/>
        <v>19.1655818605994</v>
      </c>
      <c r="K10354" s="12">
        <f t="shared" si="73"/>
        <v>22.9828905386852</v>
      </c>
    </row>
    <row r="10355" spans="1:11">
      <c r="A10355">
        <f t="shared" si="74"/>
        <v>354</v>
      </c>
      <c r="B10355">
        <f t="shared" si="66"/>
        <v>36.9178284305241</v>
      </c>
      <c r="C10355">
        <f t="shared" si="67"/>
        <v>20.4320730509852</v>
      </c>
      <c r="F10355" s="12">
        <f t="shared" si="68"/>
        <v>160.949999999998</v>
      </c>
      <c r="G10355" s="12">
        <f t="shared" si="69"/>
        <v>19.1642976886094</v>
      </c>
      <c r="H10355" s="12">
        <f t="shared" si="70"/>
        <v>22.9791794529983</v>
      </c>
      <c r="I10355" s="12">
        <f t="shared" si="71"/>
        <v>160.949999999998</v>
      </c>
      <c r="J10355" s="12">
        <f t="shared" si="72"/>
        <v>19.1642976886094</v>
      </c>
      <c r="K10355" s="12">
        <f t="shared" si="73"/>
        <v>22.9791794529983</v>
      </c>
    </row>
    <row r="10356" spans="1:11">
      <c r="A10356">
        <f t="shared" si="74"/>
        <v>355</v>
      </c>
      <c r="B10356">
        <f t="shared" si="66"/>
        <v>36.9429204713762</v>
      </c>
      <c r="C10356">
        <f t="shared" si="67"/>
        <v>20.6926638587851</v>
      </c>
      <c r="F10356" s="12">
        <f t="shared" si="68"/>
        <v>161.024999999998</v>
      </c>
      <c r="G10356" s="12">
        <f t="shared" si="69"/>
        <v>19.1630183755181</v>
      </c>
      <c r="H10356" s="12">
        <f t="shared" si="70"/>
        <v>22.9754666895142</v>
      </c>
      <c r="I10356" s="12">
        <f t="shared" si="71"/>
        <v>161.024999999998</v>
      </c>
      <c r="J10356" s="12">
        <f t="shared" si="72"/>
        <v>19.1630183755181</v>
      </c>
      <c r="K10356" s="12">
        <f t="shared" si="73"/>
        <v>22.9754666895142</v>
      </c>
    </row>
    <row r="10357" spans="1:11">
      <c r="A10357">
        <f t="shared" si="74"/>
        <v>356</v>
      </c>
      <c r="B10357">
        <f t="shared" si="66"/>
        <v>36.9634607538974</v>
      </c>
      <c r="C10357">
        <f t="shared" si="67"/>
        <v>20.9536528938381</v>
      </c>
      <c r="F10357" s="12">
        <f t="shared" si="68"/>
        <v>161.099999999998</v>
      </c>
      <c r="G10357" s="12">
        <f t="shared" si="69"/>
        <v>19.1617439235174</v>
      </c>
      <c r="H10357" s="12">
        <f t="shared" si="70"/>
        <v>22.9717522545945</v>
      </c>
      <c r="I10357" s="12">
        <f t="shared" si="71"/>
        <v>161.099999999998</v>
      </c>
      <c r="J10357" s="12">
        <f t="shared" si="72"/>
        <v>19.1617439235174</v>
      </c>
      <c r="K10357" s="12">
        <f t="shared" si="73"/>
        <v>22.9717522545945</v>
      </c>
    </row>
    <row r="10358" spans="1:11">
      <c r="A10358">
        <f t="shared" si="74"/>
        <v>357</v>
      </c>
      <c r="B10358">
        <f t="shared" si="66"/>
        <v>36.9794430213186</v>
      </c>
      <c r="C10358">
        <f t="shared" si="67"/>
        <v>21.2149606563558</v>
      </c>
      <c r="F10358" s="12">
        <f t="shared" si="68"/>
        <v>161.174999999998</v>
      </c>
      <c r="G10358" s="12">
        <f t="shared" si="69"/>
        <v>19.1604743347911</v>
      </c>
      <c r="H10358" s="12">
        <f t="shared" si="70"/>
        <v>22.9680361546038</v>
      </c>
      <c r="I10358" s="12">
        <f t="shared" si="71"/>
        <v>161.174999999998</v>
      </c>
      <c r="J10358" s="12">
        <f t="shared" si="72"/>
        <v>19.1604743347911</v>
      </c>
      <c r="K10358" s="12">
        <f t="shared" si="73"/>
        <v>22.9680361546038</v>
      </c>
    </row>
    <row r="10359" spans="1:11">
      <c r="A10359">
        <f t="shared" si="74"/>
        <v>358</v>
      </c>
      <c r="B10359">
        <f t="shared" si="66"/>
        <v>36.9908624052864</v>
      </c>
      <c r="C10359">
        <f t="shared" si="67"/>
        <v>21.4765075494625</v>
      </c>
      <c r="F10359" s="12">
        <f t="shared" si="68"/>
        <v>161.249999999998</v>
      </c>
      <c r="G10359" s="12">
        <f t="shared" si="69"/>
        <v>19.1592096115147</v>
      </c>
      <c r="H10359" s="12">
        <f t="shared" si="70"/>
        <v>22.9643183959096</v>
      </c>
      <c r="I10359" s="12">
        <f t="shared" si="71"/>
        <v>161.249999999998</v>
      </c>
      <c r="J10359" s="12">
        <f t="shared" si="72"/>
        <v>19.1592096115147</v>
      </c>
      <c r="K10359" s="12">
        <f t="shared" si="73"/>
        <v>22.9643183959096</v>
      </c>
    </row>
    <row r="10360" spans="1:11">
      <c r="A10360">
        <f t="shared" si="74"/>
        <v>359</v>
      </c>
      <c r="B10360">
        <f t="shared" si="66"/>
        <v>36.9977154273459</v>
      </c>
      <c r="C10360">
        <f t="shared" si="67"/>
        <v>21.7382139034407</v>
      </c>
      <c r="F10360" s="12">
        <f t="shared" si="68"/>
        <v>161.324999999998</v>
      </c>
      <c r="G10360" s="12">
        <f t="shared" si="69"/>
        <v>19.1579497558552</v>
      </c>
      <c r="H10360" s="12">
        <f t="shared" si="70"/>
        <v>22.960598984882</v>
      </c>
      <c r="I10360" s="12">
        <f t="shared" si="71"/>
        <v>161.324999999998</v>
      </c>
      <c r="J10360" s="12">
        <f t="shared" si="72"/>
        <v>19.1579497558552</v>
      </c>
      <c r="K10360" s="12">
        <f t="shared" si="73"/>
        <v>22.960598984882</v>
      </c>
    </row>
    <row r="10361" spans="1:11">
      <c r="A10361">
        <f t="shared" si="74"/>
        <v>360</v>
      </c>
      <c r="B10361">
        <f t="shared" si="66"/>
        <v>37</v>
      </c>
      <c r="C10361">
        <f t="shared" si="67"/>
        <v>22</v>
      </c>
      <c r="F10361" s="12">
        <f t="shared" si="68"/>
        <v>161.399999999998</v>
      </c>
      <c r="G10361" s="12">
        <f t="shared" si="69"/>
        <v>19.1566947699713</v>
      </c>
      <c r="H10361" s="12">
        <f t="shared" si="70"/>
        <v>22.9568779278943</v>
      </c>
      <c r="I10361" s="12">
        <f t="shared" si="71"/>
        <v>161.399999999998</v>
      </c>
      <c r="J10361" s="12">
        <f t="shared" si="72"/>
        <v>19.1566947699713</v>
      </c>
      <c r="K10361" s="12">
        <f t="shared" si="73"/>
        <v>22.9568779278943</v>
      </c>
    </row>
    <row r="10362" spans="6:11">
      <c r="F10362" s="12">
        <f t="shared" si="68"/>
        <v>161.474999999998</v>
      </c>
      <c r="G10362" s="12">
        <f t="shared" si="69"/>
        <v>19.1554446560134</v>
      </c>
      <c r="H10362" s="12">
        <f t="shared" si="70"/>
        <v>22.9531552313223</v>
      </c>
      <c r="I10362" s="12">
        <f t="shared" si="71"/>
        <v>161.474999999998</v>
      </c>
      <c r="J10362" s="12">
        <f t="shared" si="72"/>
        <v>19.1554446560134</v>
      </c>
      <c r="K10362" s="12">
        <f t="shared" si="73"/>
        <v>22.9531552313223</v>
      </c>
    </row>
    <row r="10363" spans="6:11">
      <c r="F10363" s="12">
        <f t="shared" si="68"/>
        <v>161.549999999998</v>
      </c>
      <c r="G10363" s="12">
        <f t="shared" si="69"/>
        <v>19.1541994161235</v>
      </c>
      <c r="H10363" s="12">
        <f t="shared" si="70"/>
        <v>22.9494309015448</v>
      </c>
      <c r="I10363" s="12">
        <f t="shared" si="71"/>
        <v>161.549999999998</v>
      </c>
      <c r="J10363" s="12">
        <f t="shared" si="72"/>
        <v>19.1541994161235</v>
      </c>
      <c r="K10363" s="12">
        <f t="shared" si="73"/>
        <v>22.9494309015448</v>
      </c>
    </row>
    <row r="10364" spans="6:11">
      <c r="F10364" s="12">
        <f t="shared" si="68"/>
        <v>161.624999999998</v>
      </c>
      <c r="G10364" s="12">
        <f t="shared" si="69"/>
        <v>19.1529590524354</v>
      </c>
      <c r="H10364" s="12">
        <f t="shared" si="70"/>
        <v>22.9457049449434</v>
      </c>
      <c r="I10364" s="12">
        <f t="shared" si="71"/>
        <v>161.624999999998</v>
      </c>
      <c r="J10364" s="12">
        <f t="shared" si="72"/>
        <v>19.1529590524354</v>
      </c>
      <c r="K10364" s="12">
        <f t="shared" si="73"/>
        <v>22.9457049449434</v>
      </c>
    </row>
    <row r="10365" spans="6:11">
      <c r="F10365" s="12">
        <f t="shared" si="68"/>
        <v>161.699999999998</v>
      </c>
      <c r="G10365" s="12">
        <f t="shared" si="69"/>
        <v>19.1517235670743</v>
      </c>
      <c r="H10365" s="12">
        <f t="shared" si="70"/>
        <v>22.9419773679023</v>
      </c>
      <c r="I10365" s="12">
        <f t="shared" si="71"/>
        <v>161.699999999998</v>
      </c>
      <c r="J10365" s="12">
        <f t="shared" si="72"/>
        <v>19.1517235670743</v>
      </c>
      <c r="K10365" s="12">
        <f t="shared" si="73"/>
        <v>22.9419773679023</v>
      </c>
    </row>
    <row r="10366" spans="6:11">
      <c r="F10366" s="12">
        <f t="shared" si="68"/>
        <v>161.774999999998</v>
      </c>
      <c r="G10366" s="12">
        <f t="shared" si="69"/>
        <v>19.1504929621573</v>
      </c>
      <c r="H10366" s="12">
        <f t="shared" si="70"/>
        <v>22.9382481768087</v>
      </c>
      <c r="I10366" s="12">
        <f t="shared" si="71"/>
        <v>161.774999999998</v>
      </c>
      <c r="J10366" s="12">
        <f t="shared" si="72"/>
        <v>19.1504929621573</v>
      </c>
      <c r="K10366" s="12">
        <f t="shared" si="73"/>
        <v>22.9382481768087</v>
      </c>
    </row>
    <row r="10367" spans="6:11">
      <c r="F10367" s="12">
        <f t="shared" si="68"/>
        <v>161.849999999998</v>
      </c>
      <c r="G10367" s="12">
        <f t="shared" si="69"/>
        <v>19.1492672397929</v>
      </c>
      <c r="H10367" s="12">
        <f t="shared" si="70"/>
        <v>22.9345173780524</v>
      </c>
      <c r="I10367" s="12">
        <f t="shared" si="71"/>
        <v>161.849999999998</v>
      </c>
      <c r="J10367" s="12">
        <f t="shared" si="72"/>
        <v>19.1492672397929</v>
      </c>
      <c r="K10367" s="12">
        <f t="shared" si="73"/>
        <v>22.9345173780524</v>
      </c>
    </row>
    <row r="10368" spans="6:11">
      <c r="F10368" s="12">
        <f t="shared" si="68"/>
        <v>161.924999999998</v>
      </c>
      <c r="G10368" s="12">
        <f t="shared" si="69"/>
        <v>19.1480464020813</v>
      </c>
      <c r="H10368" s="12">
        <f t="shared" si="70"/>
        <v>22.930784978026</v>
      </c>
      <c r="I10368" s="12">
        <f t="shared" si="71"/>
        <v>161.924999999998</v>
      </c>
      <c r="J10368" s="12">
        <f t="shared" si="72"/>
        <v>19.1480464020813</v>
      </c>
      <c r="K10368" s="12">
        <f t="shared" si="73"/>
        <v>22.930784978026</v>
      </c>
    </row>
    <row r="10369" spans="6:11">
      <c r="F10369" s="12">
        <f t="shared" si="68"/>
        <v>161.999999999998</v>
      </c>
      <c r="G10369" s="12">
        <f t="shared" si="69"/>
        <v>19.1468304511146</v>
      </c>
      <c r="H10369" s="12">
        <f t="shared" si="70"/>
        <v>22.9270509831249</v>
      </c>
      <c r="I10369" s="12">
        <f t="shared" si="71"/>
        <v>161.999999999998</v>
      </c>
      <c r="J10369" s="12">
        <f t="shared" si="72"/>
        <v>19.1468304511146</v>
      </c>
      <c r="K10369" s="12">
        <f t="shared" si="73"/>
        <v>22.9270509831249</v>
      </c>
    </row>
    <row r="10370" spans="6:11">
      <c r="F10370" s="12">
        <f t="shared" ref="F10370:F10401" si="75">MOD(F10369-$E$10006*$H$10207,360)</f>
        <v>162.074999999998</v>
      </c>
      <c r="G10370" s="12">
        <f t="shared" si="69"/>
        <v>19.145619388976</v>
      </c>
      <c r="H10370" s="12">
        <f t="shared" si="70"/>
        <v>22.9233153997473</v>
      </c>
      <c r="I10370" s="12">
        <f t="shared" ref="I10370:I10401" si="76">MOD(I10369-$E$10006*$K$10207,360)</f>
        <v>162.074999999998</v>
      </c>
      <c r="J10370" s="12">
        <f t="shared" si="72"/>
        <v>19.145619388976</v>
      </c>
      <c r="K10370" s="12">
        <f t="shared" si="73"/>
        <v>22.9233153997473</v>
      </c>
    </row>
    <row r="10371" spans="6:11">
      <c r="F10371" s="12">
        <f t="shared" si="75"/>
        <v>162.149999999998</v>
      </c>
      <c r="G10371" s="12">
        <f t="shared" si="69"/>
        <v>19.1444132177409</v>
      </c>
      <c r="H10371" s="12">
        <f t="shared" si="70"/>
        <v>22.9195782342939</v>
      </c>
      <c r="I10371" s="12">
        <f t="shared" si="76"/>
        <v>162.149999999998</v>
      </c>
      <c r="J10371" s="12">
        <f t="shared" si="72"/>
        <v>19.1444132177409</v>
      </c>
      <c r="K10371" s="12">
        <f t="shared" si="73"/>
        <v>22.9195782342939</v>
      </c>
    </row>
    <row r="10372" spans="6:11">
      <c r="F10372" s="12">
        <f t="shared" si="75"/>
        <v>162.224999999998</v>
      </c>
      <c r="G10372" s="12">
        <f t="shared" si="69"/>
        <v>19.1432119394758</v>
      </c>
      <c r="H10372" s="12">
        <f t="shared" si="70"/>
        <v>22.9158394931682</v>
      </c>
      <c r="I10372" s="12">
        <f t="shared" si="76"/>
        <v>162.224999999998</v>
      </c>
      <c r="J10372" s="12">
        <f t="shared" si="72"/>
        <v>19.1432119394758</v>
      </c>
      <c r="K10372" s="12">
        <f t="shared" si="73"/>
        <v>22.9158394931682</v>
      </c>
    </row>
    <row r="10373" spans="6:11">
      <c r="F10373" s="12">
        <f t="shared" si="75"/>
        <v>162.299999999998</v>
      </c>
      <c r="G10373" s="12">
        <f t="shared" si="69"/>
        <v>19.1420155562393</v>
      </c>
      <c r="H10373" s="12">
        <f t="shared" si="70"/>
        <v>22.9120991827766</v>
      </c>
      <c r="I10373" s="12">
        <f t="shared" si="76"/>
        <v>162.299999999998</v>
      </c>
      <c r="J10373" s="12">
        <f t="shared" si="72"/>
        <v>19.1420155562393</v>
      </c>
      <c r="K10373" s="12">
        <f t="shared" si="73"/>
        <v>22.9120991827766</v>
      </c>
    </row>
    <row r="10374" spans="6:11">
      <c r="F10374" s="12">
        <f t="shared" si="75"/>
        <v>162.374999999998</v>
      </c>
      <c r="G10374" s="12">
        <f t="shared" si="69"/>
        <v>19.1408240700811</v>
      </c>
      <c r="H10374" s="12">
        <f t="shared" si="70"/>
        <v>22.9083573095278</v>
      </c>
      <c r="I10374" s="12">
        <f t="shared" si="76"/>
        <v>162.374999999998</v>
      </c>
      <c r="J10374" s="12">
        <f t="shared" si="72"/>
        <v>19.1408240700811</v>
      </c>
      <c r="K10374" s="12">
        <f t="shared" si="73"/>
        <v>22.9083573095278</v>
      </c>
    </row>
    <row r="10375" spans="6:11">
      <c r="F10375" s="12">
        <f t="shared" si="75"/>
        <v>162.449999999998</v>
      </c>
      <c r="G10375" s="12">
        <f t="shared" si="69"/>
        <v>19.139637483043</v>
      </c>
      <c r="H10375" s="12">
        <f t="shared" si="70"/>
        <v>22.9046138798336</v>
      </c>
      <c r="I10375" s="12">
        <f t="shared" si="76"/>
        <v>162.449999999998</v>
      </c>
      <c r="J10375" s="12">
        <f t="shared" si="72"/>
        <v>19.139637483043</v>
      </c>
      <c r="K10375" s="12">
        <f t="shared" si="73"/>
        <v>22.9046138798336</v>
      </c>
    </row>
    <row r="10376" spans="6:11">
      <c r="F10376" s="12">
        <f t="shared" si="75"/>
        <v>162.524999999998</v>
      </c>
      <c r="G10376" s="12">
        <f t="shared" si="69"/>
        <v>19.1384557971581</v>
      </c>
      <c r="H10376" s="12">
        <f t="shared" si="70"/>
        <v>22.9008689001081</v>
      </c>
      <c r="I10376" s="12">
        <f t="shared" si="76"/>
        <v>162.524999999998</v>
      </c>
      <c r="J10376" s="12">
        <f t="shared" si="72"/>
        <v>19.1384557971581</v>
      </c>
      <c r="K10376" s="12">
        <f t="shared" si="73"/>
        <v>22.9008689001081</v>
      </c>
    </row>
    <row r="10377" spans="6:11">
      <c r="F10377" s="12">
        <f t="shared" si="75"/>
        <v>162.599999999998</v>
      </c>
      <c r="G10377" s="12">
        <f t="shared" si="69"/>
        <v>19.1372790144512</v>
      </c>
      <c r="H10377" s="12">
        <f t="shared" si="70"/>
        <v>22.8971223767684</v>
      </c>
      <c r="I10377" s="12">
        <f t="shared" si="76"/>
        <v>162.599999999998</v>
      </c>
      <c r="J10377" s="12">
        <f t="shared" si="72"/>
        <v>19.1372790144512</v>
      </c>
      <c r="K10377" s="12">
        <f t="shared" si="73"/>
        <v>22.8971223767684</v>
      </c>
    </row>
    <row r="10378" spans="6:11">
      <c r="F10378" s="12">
        <f t="shared" si="75"/>
        <v>162.674999999998</v>
      </c>
      <c r="G10378" s="12">
        <f t="shared" si="69"/>
        <v>19.1361071369387</v>
      </c>
      <c r="H10378" s="12">
        <f t="shared" si="70"/>
        <v>22.8933743162339</v>
      </c>
      <c r="I10378" s="12">
        <f t="shared" si="76"/>
        <v>162.674999999998</v>
      </c>
      <c r="J10378" s="12">
        <f t="shared" si="72"/>
        <v>19.1361071369387</v>
      </c>
      <c r="K10378" s="12">
        <f t="shared" si="73"/>
        <v>22.8933743162339</v>
      </c>
    </row>
    <row r="10379" spans="6:11">
      <c r="F10379" s="12">
        <f t="shared" si="75"/>
        <v>162.749999999998</v>
      </c>
      <c r="G10379" s="12">
        <f t="shared" si="69"/>
        <v>19.1349401666285</v>
      </c>
      <c r="H10379" s="12">
        <f t="shared" si="70"/>
        <v>22.8896247249268</v>
      </c>
      <c r="I10379" s="12">
        <f t="shared" si="76"/>
        <v>162.749999999998</v>
      </c>
      <c r="J10379" s="12">
        <f t="shared" si="72"/>
        <v>19.1349401666285</v>
      </c>
      <c r="K10379" s="12">
        <f t="shared" si="73"/>
        <v>22.8896247249268</v>
      </c>
    </row>
    <row r="10380" spans="6:11">
      <c r="F10380" s="12">
        <f t="shared" si="75"/>
        <v>162.824999999998</v>
      </c>
      <c r="G10380" s="12">
        <f t="shared" si="69"/>
        <v>19.1337781055202</v>
      </c>
      <c r="H10380" s="12">
        <f t="shared" si="70"/>
        <v>22.885873609272</v>
      </c>
      <c r="I10380" s="12">
        <f t="shared" si="76"/>
        <v>162.824999999998</v>
      </c>
      <c r="J10380" s="12">
        <f t="shared" si="72"/>
        <v>19.1337781055202</v>
      </c>
      <c r="K10380" s="12">
        <f t="shared" si="73"/>
        <v>22.885873609272</v>
      </c>
    </row>
    <row r="10381" spans="6:11">
      <c r="F10381" s="12">
        <f t="shared" si="75"/>
        <v>162.899999999998</v>
      </c>
      <c r="G10381" s="12">
        <f t="shared" si="69"/>
        <v>19.132620955605</v>
      </c>
      <c r="H10381" s="12">
        <f t="shared" si="70"/>
        <v>22.882120975697</v>
      </c>
      <c r="I10381" s="12">
        <f t="shared" si="76"/>
        <v>162.899999999998</v>
      </c>
      <c r="J10381" s="12">
        <f t="shared" si="72"/>
        <v>19.132620955605</v>
      </c>
      <c r="K10381" s="12">
        <f t="shared" si="73"/>
        <v>22.882120975697</v>
      </c>
    </row>
    <row r="10382" spans="6:11">
      <c r="F10382" s="12">
        <f t="shared" si="75"/>
        <v>162.974999999998</v>
      </c>
      <c r="G10382" s="12">
        <f t="shared" si="69"/>
        <v>19.1314687188657</v>
      </c>
      <c r="H10382" s="12">
        <f t="shared" si="70"/>
        <v>22.8783668306317</v>
      </c>
      <c r="I10382" s="12">
        <f t="shared" si="76"/>
        <v>162.974999999998</v>
      </c>
      <c r="J10382" s="12">
        <f t="shared" si="72"/>
        <v>19.1314687188657</v>
      </c>
      <c r="K10382" s="12">
        <f t="shared" si="73"/>
        <v>22.8783668306317</v>
      </c>
    </row>
    <row r="10383" spans="6:11">
      <c r="F10383" s="12">
        <f t="shared" si="75"/>
        <v>163.049999999998</v>
      </c>
      <c r="G10383" s="12">
        <f t="shared" si="69"/>
        <v>19.1303213972765</v>
      </c>
      <c r="H10383" s="12">
        <f t="shared" si="70"/>
        <v>22.8746111805088</v>
      </c>
      <c r="I10383" s="12">
        <f t="shared" si="76"/>
        <v>163.049999999998</v>
      </c>
      <c r="J10383" s="12">
        <f t="shared" si="72"/>
        <v>19.1303213972765</v>
      </c>
      <c r="K10383" s="12">
        <f t="shared" si="73"/>
        <v>22.8746111805088</v>
      </c>
    </row>
    <row r="10384" spans="6:11">
      <c r="F10384" s="12">
        <f t="shared" si="75"/>
        <v>163.124999999998</v>
      </c>
      <c r="G10384" s="12">
        <f t="shared" si="69"/>
        <v>19.1291789928034</v>
      </c>
      <c r="H10384" s="12">
        <f t="shared" si="70"/>
        <v>22.8708540317635</v>
      </c>
      <c r="I10384" s="12">
        <f t="shared" si="76"/>
        <v>163.124999999998</v>
      </c>
      <c r="J10384" s="12">
        <f t="shared" si="72"/>
        <v>19.1291789928034</v>
      </c>
      <c r="K10384" s="12">
        <f t="shared" si="73"/>
        <v>22.8708540317635</v>
      </c>
    </row>
    <row r="10385" spans="6:11">
      <c r="F10385" s="12">
        <f t="shared" si="75"/>
        <v>163.199999999998</v>
      </c>
      <c r="G10385" s="12">
        <f t="shared" si="69"/>
        <v>19.1280415074038</v>
      </c>
      <c r="H10385" s="12">
        <f t="shared" si="70"/>
        <v>22.8670953908335</v>
      </c>
      <c r="I10385" s="12">
        <f t="shared" si="76"/>
        <v>163.199999999998</v>
      </c>
      <c r="J10385" s="12">
        <f t="shared" si="72"/>
        <v>19.1280415074038</v>
      </c>
      <c r="K10385" s="12">
        <f t="shared" si="73"/>
        <v>22.8670953908335</v>
      </c>
    </row>
    <row r="10386" spans="6:11">
      <c r="F10386" s="12">
        <f t="shared" si="75"/>
        <v>163.274999999998</v>
      </c>
      <c r="G10386" s="12">
        <f t="shared" si="69"/>
        <v>19.1269089430268</v>
      </c>
      <c r="H10386" s="12">
        <f t="shared" si="70"/>
        <v>22.8633352641592</v>
      </c>
      <c r="I10386" s="12">
        <f t="shared" si="76"/>
        <v>163.274999999998</v>
      </c>
      <c r="J10386" s="12">
        <f t="shared" si="72"/>
        <v>19.1269089430268</v>
      </c>
      <c r="K10386" s="12">
        <f t="shared" si="73"/>
        <v>22.8633352641592</v>
      </c>
    </row>
    <row r="10387" spans="6:11">
      <c r="F10387" s="12">
        <f t="shared" si="75"/>
        <v>163.349999999998</v>
      </c>
      <c r="G10387" s="12">
        <f t="shared" si="69"/>
        <v>19.1257813016131</v>
      </c>
      <c r="H10387" s="12">
        <f t="shared" si="70"/>
        <v>22.8595736581835</v>
      </c>
      <c r="I10387" s="12">
        <f t="shared" si="76"/>
        <v>163.349999999998</v>
      </c>
      <c r="J10387" s="12">
        <f t="shared" si="72"/>
        <v>19.1257813016131</v>
      </c>
      <c r="K10387" s="12">
        <f t="shared" si="73"/>
        <v>22.8595736581835</v>
      </c>
    </row>
    <row r="10388" spans="6:11">
      <c r="F10388" s="12">
        <f t="shared" si="75"/>
        <v>163.424999999998</v>
      </c>
      <c r="G10388" s="12">
        <f t="shared" si="69"/>
        <v>19.1246585850947</v>
      </c>
      <c r="H10388" s="12">
        <f t="shared" si="70"/>
        <v>22.8558105793517</v>
      </c>
      <c r="I10388" s="12">
        <f t="shared" si="76"/>
        <v>163.424999999998</v>
      </c>
      <c r="J10388" s="12">
        <f t="shared" si="72"/>
        <v>19.1246585850947</v>
      </c>
      <c r="K10388" s="12">
        <f t="shared" si="73"/>
        <v>22.8558105793517</v>
      </c>
    </row>
    <row r="10389" spans="6:11">
      <c r="F10389" s="12">
        <f t="shared" si="75"/>
        <v>163.499999999998</v>
      </c>
      <c r="G10389" s="12">
        <f t="shared" si="69"/>
        <v>19.1235407953954</v>
      </c>
      <c r="H10389" s="12">
        <f t="shared" si="70"/>
        <v>22.8520460341119</v>
      </c>
      <c r="I10389" s="12">
        <f t="shared" si="76"/>
        <v>163.499999999998</v>
      </c>
      <c r="J10389" s="12">
        <f t="shared" si="72"/>
        <v>19.1235407953954</v>
      </c>
      <c r="K10389" s="12">
        <f t="shared" si="73"/>
        <v>22.8520460341119</v>
      </c>
    </row>
    <row r="10390" spans="6:11">
      <c r="F10390" s="12">
        <f t="shared" si="75"/>
        <v>163.574999999998</v>
      </c>
      <c r="G10390" s="12">
        <f t="shared" si="69"/>
        <v>19.1224279344306</v>
      </c>
      <c r="H10390" s="12">
        <f t="shared" si="70"/>
        <v>22.8482800289144</v>
      </c>
      <c r="I10390" s="12">
        <f t="shared" si="76"/>
        <v>163.574999999998</v>
      </c>
      <c r="J10390" s="12">
        <f t="shared" si="72"/>
        <v>19.1224279344306</v>
      </c>
      <c r="K10390" s="12">
        <f t="shared" si="73"/>
        <v>22.8482800289144</v>
      </c>
    </row>
    <row r="10391" spans="6:11">
      <c r="F10391" s="12">
        <f t="shared" si="75"/>
        <v>163.649999999998</v>
      </c>
      <c r="G10391" s="12">
        <f t="shared" si="69"/>
        <v>19.1213200041071</v>
      </c>
      <c r="H10391" s="12">
        <f t="shared" si="70"/>
        <v>22.8445125702121</v>
      </c>
      <c r="I10391" s="12">
        <f t="shared" si="76"/>
        <v>163.649999999998</v>
      </c>
      <c r="J10391" s="12">
        <f t="shared" si="72"/>
        <v>19.1213200041071</v>
      </c>
      <c r="K10391" s="12">
        <f t="shared" si="73"/>
        <v>22.8445125702121</v>
      </c>
    </row>
    <row r="10392" spans="6:11">
      <c r="F10392" s="12">
        <f t="shared" si="75"/>
        <v>163.724999999998</v>
      </c>
      <c r="G10392" s="12">
        <f t="shared" si="69"/>
        <v>19.1202170063233</v>
      </c>
      <c r="H10392" s="12">
        <f t="shared" si="70"/>
        <v>22.8407436644606</v>
      </c>
      <c r="I10392" s="12">
        <f t="shared" si="76"/>
        <v>163.724999999998</v>
      </c>
      <c r="J10392" s="12">
        <f t="shared" si="72"/>
        <v>19.1202170063233</v>
      </c>
      <c r="K10392" s="12">
        <f t="shared" si="73"/>
        <v>22.8407436644606</v>
      </c>
    </row>
    <row r="10393" spans="6:11">
      <c r="F10393" s="12">
        <f t="shared" si="75"/>
        <v>163.799999999998</v>
      </c>
      <c r="G10393" s="12">
        <f t="shared" si="69"/>
        <v>19.1191189429692</v>
      </c>
      <c r="H10393" s="12">
        <f t="shared" si="70"/>
        <v>22.8369733181178</v>
      </c>
      <c r="I10393" s="12">
        <f t="shared" si="76"/>
        <v>163.799999999998</v>
      </c>
      <c r="J10393" s="12">
        <f t="shared" si="72"/>
        <v>19.1191189429692</v>
      </c>
      <c r="K10393" s="12">
        <f t="shared" si="73"/>
        <v>22.8369733181178</v>
      </c>
    </row>
    <row r="10394" spans="6:11">
      <c r="F10394" s="12">
        <f t="shared" si="75"/>
        <v>163.874999999998</v>
      </c>
      <c r="G10394" s="12">
        <f t="shared" si="69"/>
        <v>19.1180258159262</v>
      </c>
      <c r="H10394" s="12">
        <f t="shared" si="70"/>
        <v>22.833201537644</v>
      </c>
      <c r="I10394" s="12">
        <f t="shared" si="76"/>
        <v>163.874999999998</v>
      </c>
      <c r="J10394" s="12">
        <f t="shared" si="72"/>
        <v>19.1180258159262</v>
      </c>
      <c r="K10394" s="12">
        <f t="shared" si="73"/>
        <v>22.833201537644</v>
      </c>
    </row>
    <row r="10395" spans="6:11">
      <c r="F10395" s="12">
        <f t="shared" si="75"/>
        <v>163.949999999998</v>
      </c>
      <c r="G10395" s="12">
        <f t="shared" si="69"/>
        <v>19.1169376270675</v>
      </c>
      <c r="H10395" s="12">
        <f t="shared" si="70"/>
        <v>22.8294283295021</v>
      </c>
      <c r="I10395" s="12">
        <f t="shared" si="76"/>
        <v>163.949999999998</v>
      </c>
      <c r="J10395" s="12">
        <f t="shared" si="72"/>
        <v>19.1169376270675</v>
      </c>
      <c r="K10395" s="12">
        <f t="shared" si="73"/>
        <v>22.8294283295021</v>
      </c>
    </row>
    <row r="10396" spans="6:11">
      <c r="F10396" s="12">
        <f t="shared" si="75"/>
        <v>164.024999999998</v>
      </c>
      <c r="G10396" s="12">
        <f t="shared" si="69"/>
        <v>19.1158543782575</v>
      </c>
      <c r="H10396" s="12">
        <f t="shared" si="70"/>
        <v>22.8256537001573</v>
      </c>
      <c r="I10396" s="12">
        <f t="shared" si="76"/>
        <v>164.024999999998</v>
      </c>
      <c r="J10396" s="12">
        <f t="shared" si="72"/>
        <v>19.1158543782575</v>
      </c>
      <c r="K10396" s="12">
        <f t="shared" si="73"/>
        <v>22.8256537001573</v>
      </c>
    </row>
    <row r="10397" spans="6:11">
      <c r="F10397" s="12">
        <f t="shared" si="75"/>
        <v>164.099999999998</v>
      </c>
      <c r="G10397" s="12">
        <f t="shared" si="69"/>
        <v>19.1147760713524</v>
      </c>
      <c r="H10397" s="12">
        <f t="shared" si="70"/>
        <v>22.8218776560774</v>
      </c>
      <c r="I10397" s="12">
        <f t="shared" si="76"/>
        <v>164.099999999998</v>
      </c>
      <c r="J10397" s="12">
        <f t="shared" si="72"/>
        <v>19.1147760713524</v>
      </c>
      <c r="K10397" s="12">
        <f t="shared" si="73"/>
        <v>22.8218776560774</v>
      </c>
    </row>
    <row r="10398" spans="6:11">
      <c r="F10398" s="12">
        <f t="shared" si="75"/>
        <v>164.174999999998</v>
      </c>
      <c r="G10398" s="12">
        <f t="shared" si="69"/>
        <v>19.1137027081999</v>
      </c>
      <c r="H10398" s="12">
        <f t="shared" si="70"/>
        <v>22.8181002037326</v>
      </c>
      <c r="I10398" s="12">
        <f t="shared" si="76"/>
        <v>164.174999999998</v>
      </c>
      <c r="J10398" s="12">
        <f t="shared" si="72"/>
        <v>19.1137027081999</v>
      </c>
      <c r="K10398" s="12">
        <f t="shared" si="73"/>
        <v>22.8181002037326</v>
      </c>
    </row>
    <row r="10399" spans="6:11">
      <c r="F10399" s="12">
        <f t="shared" si="75"/>
        <v>164.249999999998</v>
      </c>
      <c r="G10399" s="12">
        <f t="shared" si="69"/>
        <v>19.1126342906391</v>
      </c>
      <c r="H10399" s="12">
        <f t="shared" si="70"/>
        <v>22.8143213495953</v>
      </c>
      <c r="I10399" s="12">
        <f t="shared" si="76"/>
        <v>164.249999999998</v>
      </c>
      <c r="J10399" s="12">
        <f t="shared" si="72"/>
        <v>19.1126342906391</v>
      </c>
      <c r="K10399" s="12">
        <f t="shared" si="73"/>
        <v>22.8143213495953</v>
      </c>
    </row>
    <row r="10400" spans="6:11">
      <c r="F10400" s="12">
        <f t="shared" si="75"/>
        <v>164.324999999998</v>
      </c>
      <c r="G10400" s="12">
        <f t="shared" si="69"/>
        <v>19.1115708205007</v>
      </c>
      <c r="H10400" s="12">
        <f t="shared" si="70"/>
        <v>22.8105411001407</v>
      </c>
      <c r="I10400" s="12">
        <f t="shared" si="76"/>
        <v>164.324999999998</v>
      </c>
      <c r="J10400" s="12">
        <f t="shared" si="72"/>
        <v>19.1115708205007</v>
      </c>
      <c r="K10400" s="12">
        <f t="shared" si="73"/>
        <v>22.8105411001407</v>
      </c>
    </row>
    <row r="10401" spans="6:11">
      <c r="F10401" s="12">
        <f t="shared" si="75"/>
        <v>164.399999999998</v>
      </c>
      <c r="G10401" s="12">
        <f t="shared" si="69"/>
        <v>19.1105122996071</v>
      </c>
      <c r="H10401" s="12">
        <f t="shared" si="70"/>
        <v>22.8067594618459</v>
      </c>
      <c r="I10401" s="12">
        <f t="shared" si="76"/>
        <v>164.399999999998</v>
      </c>
      <c r="J10401" s="12">
        <f t="shared" si="72"/>
        <v>19.1105122996071</v>
      </c>
      <c r="K10401" s="12">
        <f t="shared" si="73"/>
        <v>22.8067594618459</v>
      </c>
    </row>
    <row r="10402" spans="6:11">
      <c r="F10402" s="12">
        <f t="shared" ref="F10402:F10409" si="77">MOD(F10401-$E$10006*$H$10207,360)</f>
        <v>164.474999999998</v>
      </c>
      <c r="G10402" s="12">
        <f t="shared" ref="G10402:G10409" si="78">COS(F10402/180*PI())*$E$10001*$R$10017+$E$10002</f>
        <v>19.1094587297718</v>
      </c>
      <c r="H10402" s="12">
        <f t="shared" ref="H10402:H10409" si="79">SIN(F10402/180*PI())*$E$10001*$R$10017+$E$10003</f>
        <v>22.8029764411908</v>
      </c>
      <c r="I10402" s="12">
        <f t="shared" ref="I10402:I10409" si="80">MOD(I10401-$E$10006*$K$10207,360)</f>
        <v>164.474999999998</v>
      </c>
      <c r="J10402" s="12">
        <f t="shared" ref="J10402:J10409" si="81">COS(I10402/180*PI())*$E$10001*$R$10021+$E$10002</f>
        <v>19.1094587297718</v>
      </c>
      <c r="K10402" s="12">
        <f t="shared" ref="K10402:K10409" si="82">SIN(I10402/180*PI())*$E$10001*$R$10021+$E$10003</f>
        <v>22.8029764411908</v>
      </c>
    </row>
    <row r="10403" spans="6:11">
      <c r="F10403" s="12">
        <f t="shared" si="77"/>
        <v>164.549999999998</v>
      </c>
      <c r="G10403" s="12">
        <f t="shared" si="78"/>
        <v>19.1084101128002</v>
      </c>
      <c r="H10403" s="12">
        <f t="shared" si="79"/>
        <v>22.7991920446575</v>
      </c>
      <c r="I10403" s="12">
        <f t="shared" si="80"/>
        <v>164.549999999998</v>
      </c>
      <c r="J10403" s="12">
        <f t="shared" si="81"/>
        <v>19.1084101128002</v>
      </c>
      <c r="K10403" s="12">
        <f t="shared" si="82"/>
        <v>22.7991920446575</v>
      </c>
    </row>
    <row r="10404" spans="6:11">
      <c r="F10404" s="12">
        <f t="shared" si="77"/>
        <v>164.624999999998</v>
      </c>
      <c r="G10404" s="12">
        <f t="shared" si="78"/>
        <v>19.107366450489</v>
      </c>
      <c r="H10404" s="12">
        <f t="shared" si="79"/>
        <v>22.7954062787303</v>
      </c>
      <c r="I10404" s="12">
        <f t="shared" si="80"/>
        <v>164.624999999998</v>
      </c>
      <c r="J10404" s="12">
        <f t="shared" si="81"/>
        <v>19.107366450489</v>
      </c>
      <c r="K10404" s="12">
        <f t="shared" si="82"/>
        <v>22.7954062787303</v>
      </c>
    </row>
    <row r="10405" spans="6:11">
      <c r="F10405" s="12">
        <f t="shared" si="77"/>
        <v>164.699999999998</v>
      </c>
      <c r="G10405" s="12">
        <f t="shared" si="78"/>
        <v>19.1063277446266</v>
      </c>
      <c r="H10405" s="12">
        <f t="shared" si="79"/>
        <v>22.7916191498962</v>
      </c>
      <c r="I10405" s="12">
        <f t="shared" si="80"/>
        <v>164.699999999998</v>
      </c>
      <c r="J10405" s="12">
        <f t="shared" si="81"/>
        <v>19.1063277446266</v>
      </c>
      <c r="K10405" s="12">
        <f t="shared" si="82"/>
        <v>22.7916191498962</v>
      </c>
    </row>
    <row r="10406" spans="6:11">
      <c r="F10406" s="12">
        <f t="shared" si="77"/>
        <v>164.774999999998</v>
      </c>
      <c r="G10406" s="12">
        <f t="shared" si="78"/>
        <v>19.1052939969928</v>
      </c>
      <c r="H10406" s="12">
        <f t="shared" si="79"/>
        <v>22.7878306646443</v>
      </c>
      <c r="I10406" s="12">
        <f t="shared" si="80"/>
        <v>164.774999999998</v>
      </c>
      <c r="J10406" s="12">
        <f t="shared" si="81"/>
        <v>19.1052939969928</v>
      </c>
      <c r="K10406" s="12">
        <f t="shared" si="82"/>
        <v>22.7878306646443</v>
      </c>
    </row>
    <row r="10407" spans="6:11">
      <c r="F10407" s="12">
        <f t="shared" si="77"/>
        <v>164.849999999998</v>
      </c>
      <c r="G10407" s="12">
        <f t="shared" si="78"/>
        <v>19.1042652093587</v>
      </c>
      <c r="H10407" s="12">
        <f t="shared" si="79"/>
        <v>22.784040829466</v>
      </c>
      <c r="I10407" s="12">
        <f t="shared" si="80"/>
        <v>164.849999999998</v>
      </c>
      <c r="J10407" s="12">
        <f t="shared" si="81"/>
        <v>19.1042652093587</v>
      </c>
      <c r="K10407" s="12">
        <f t="shared" si="82"/>
        <v>22.784040829466</v>
      </c>
    </row>
    <row r="10408" spans="6:11">
      <c r="F10408" s="12">
        <f t="shared" si="77"/>
        <v>164.924999999998</v>
      </c>
      <c r="G10408" s="12">
        <f t="shared" si="78"/>
        <v>19.1032413834873</v>
      </c>
      <c r="H10408" s="12">
        <f t="shared" si="79"/>
        <v>22.7802496508551</v>
      </c>
      <c r="I10408" s="12">
        <f t="shared" si="80"/>
        <v>164.924999999998</v>
      </c>
      <c r="J10408" s="12">
        <f t="shared" si="81"/>
        <v>19.1032413834873</v>
      </c>
      <c r="K10408" s="12">
        <f t="shared" si="82"/>
        <v>22.7802496508551</v>
      </c>
    </row>
    <row r="10409" spans="6:11">
      <c r="F10409" s="12">
        <f t="shared" si="77"/>
        <v>164.999999999998</v>
      </c>
      <c r="G10409" s="12">
        <f t="shared" si="78"/>
        <v>19.1022225211328</v>
      </c>
      <c r="H10409" s="12">
        <f t="shared" si="79"/>
        <v>22.7764571353077</v>
      </c>
      <c r="I10409" s="12">
        <f t="shared" si="80"/>
        <v>164.999999999998</v>
      </c>
      <c r="J10409" s="12">
        <f t="shared" si="81"/>
        <v>19.1022225211328</v>
      </c>
      <c r="K10409" s="12">
        <f t="shared" si="82"/>
        <v>22.7764571353077</v>
      </c>
    </row>
    <row r="10410" spans="7:11">
      <c r="G10410" s="1" t="s">
        <v>35</v>
      </c>
      <c r="H10410" s="1"/>
      <c r="J10410" s="1" t="s">
        <v>35</v>
      </c>
      <c r="K10410" s="1"/>
    </row>
    <row r="10411" spans="7:11">
      <c r="G10411">
        <f>(G10309-E10002)*1.5+E10002</f>
        <v>17.8425421036992</v>
      </c>
      <c r="H10411">
        <f>(H10309-E10003)*1.5+E10003</f>
        <v>23.722075445643</v>
      </c>
      <c r="J10411">
        <f>(J10309-E10002)*1.2+E10002</f>
        <v>18.6740336829594</v>
      </c>
      <c r="K10411">
        <f>(K10309-E10003)*1.2+E10003</f>
        <v>23.3776603565144</v>
      </c>
    </row>
  </sheetData>
  <mergeCells count="3">
    <mergeCell ref="A7:B7"/>
    <mergeCell ref="A11:B11"/>
    <mergeCell ref="A1:B2"/>
  </mergeCells>
  <dataValidations count="4">
    <dataValidation type="list" allowBlank="1" showInputMessage="1" showErrorMessage="1" sqref="B3 R10001">
      <formula1>"顺时针,逆时针"</formula1>
    </dataValidation>
    <dataValidation type="decimal" operator="between" allowBlank="1" showInputMessage="1" showErrorMessage="1" sqref="A9 A13">
      <formula1>0</formula1>
      <formula2>2000</formula2>
    </dataValidation>
    <dataValidation type="list" allowBlank="1" showInputMessage="1" showErrorMessage="1" sqref="B15">
      <formula1>"显示XY向,只显示X向,只显示Y向"</formula1>
    </dataValidation>
    <dataValidation type="decimal" operator="between" allowBlank="1" showInputMessage="1" showErrorMessage="1" sqref="B4:B6 B9:B10 B13:B14">
      <formula1>-360</formula1>
      <formula2>360</formula2>
    </dataValidation>
  </dataValidations>
  <pageMargins left="0.7" right="0.7" top="0.75" bottom="0.75" header="0.3" footer="0.3"/>
  <pageSetup paperSize="9" orientation="portrait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D19"/>
  <sheetViews>
    <sheetView workbookViewId="0">
      <selection activeCell="N8" sqref="N8"/>
    </sheetView>
  </sheetViews>
  <sheetFormatPr defaultColWidth="8.75" defaultRowHeight="13.5" outlineLevelCol="3"/>
  <cols>
    <col min="2" max="2" width="37.125" customWidth="1"/>
    <col min="3" max="3" width="12.875"/>
  </cols>
  <sheetData>
    <row r="1" spans="1:2">
      <c r="A1" t="s">
        <v>68</v>
      </c>
      <c r="B1" t="s">
        <v>69</v>
      </c>
    </row>
    <row r="2" spans="1:4">
      <c r="A2" t="s">
        <v>70</v>
      </c>
      <c r="B2" t="s">
        <v>71</v>
      </c>
      <c r="C2">
        <f>0+LEFT(B2,FIND("∠",B2)-1)</f>
        <v>120</v>
      </c>
      <c r="D2">
        <f>0+MID(B2,FIND("∠",B2)+1,100)</f>
        <v>238</v>
      </c>
    </row>
    <row r="3" spans="1:3">
      <c r="A3" t="s">
        <v>72</v>
      </c>
      <c r="B3" t="str">
        <f>VecProduct(B1,B2)</f>
        <v>11.94∠350°</v>
      </c>
      <c r="C3">
        <f>0+LEFT(B3,FIND("∠",B3)-1)</f>
        <v>11.94</v>
      </c>
    </row>
    <row r="4" spans="1:2">
      <c r="A4" t="s">
        <v>73</v>
      </c>
      <c r="B4">
        <v>300</v>
      </c>
    </row>
    <row r="5" spans="1:3">
      <c r="A5" t="s">
        <v>74</v>
      </c>
      <c r="B5" t="str">
        <f>B4&amp;"∠"&amp;0</f>
        <v>300∠0</v>
      </c>
      <c r="C5">
        <f t="shared" ref="C5:C13" si="0">0+LEFT(B5,FIND("∠",B5)-1)</f>
        <v>300</v>
      </c>
    </row>
    <row r="6" spans="1:3">
      <c r="A6" t="s">
        <v>75</v>
      </c>
      <c r="B6" t="str">
        <f>VecAdd(B$2,B5)</f>
        <v>257.38261980019∠336.709880372077°</v>
      </c>
      <c r="C6">
        <f t="shared" si="0"/>
        <v>257.38261980019</v>
      </c>
    </row>
    <row r="7" spans="1:3">
      <c r="A7" t="s">
        <v>76</v>
      </c>
      <c r="B7" t="str">
        <f>VecProduct(B$1,B6)</f>
        <v>25.6095706701189∠88.709880372077°</v>
      </c>
      <c r="C7">
        <f t="shared" si="0"/>
        <v>25.6095706701189</v>
      </c>
    </row>
    <row r="8" spans="1:3">
      <c r="A8" t="s">
        <v>77</v>
      </c>
      <c r="B8" t="str">
        <f>B4&amp;"∠"&amp;120</f>
        <v>300∠120</v>
      </c>
      <c r="C8">
        <f t="shared" si="0"/>
        <v>300</v>
      </c>
    </row>
    <row r="9" spans="1:3">
      <c r="A9" t="s">
        <v>78</v>
      </c>
      <c r="B9" t="str">
        <f>VecAdd(B$2,B8)</f>
        <v>265.702930882247∠143.501155686555°</v>
      </c>
      <c r="C9">
        <f t="shared" si="0"/>
        <v>265.702930882247</v>
      </c>
    </row>
    <row r="10" spans="1:3">
      <c r="A10" t="s">
        <v>79</v>
      </c>
      <c r="B10" t="str">
        <f>VecProduct(B$1,B9)</f>
        <v>26.4374416227836∠255.501155686555°</v>
      </c>
      <c r="C10">
        <f t="shared" si="0"/>
        <v>26.4374416227836</v>
      </c>
    </row>
    <row r="11" spans="1:3">
      <c r="A11" t="s">
        <v>80</v>
      </c>
      <c r="B11" t="str">
        <f>B4&amp;"∠"&amp;240</f>
        <v>300∠240</v>
      </c>
      <c r="C11">
        <f t="shared" si="0"/>
        <v>300</v>
      </c>
    </row>
    <row r="12" spans="1:3">
      <c r="A12" t="s">
        <v>81</v>
      </c>
      <c r="B12" t="str">
        <f>VecAdd(B$2,B11)</f>
        <v>419.947781926962∠239.428606955605°</v>
      </c>
      <c r="C12">
        <f t="shared" si="0"/>
        <v>419.947781926962</v>
      </c>
    </row>
    <row r="13" spans="1:3">
      <c r="A13" t="s">
        <v>82</v>
      </c>
      <c r="B13" t="str">
        <f>VecProduct(B$1,B12)</f>
        <v>41.7848043017327∠351.428606955605°</v>
      </c>
      <c r="C13">
        <f t="shared" si="0"/>
        <v>41.7848043017327</v>
      </c>
    </row>
    <row r="15" spans="1:3">
      <c r="A15" t="s">
        <v>83</v>
      </c>
      <c r="C15">
        <f>SQRT((C7^2+C10^2+C13^2-3*C3^2)/(3*C8^2))</f>
        <v>0.0995000000000001</v>
      </c>
    </row>
    <row r="16" spans="1:3">
      <c r="A16" t="s">
        <v>84</v>
      </c>
      <c r="C16">
        <f>(C7^2-C3^2)/(2*C5*C15^2)-C5/2</f>
        <v>-63.5903117079849</v>
      </c>
    </row>
    <row r="17" spans="1:3">
      <c r="A17" t="s">
        <v>85</v>
      </c>
      <c r="C17">
        <f>(C10^2-C13^2)/(2*SQRT(3)*C5*C15^2)</f>
        <v>-101.765771538771</v>
      </c>
    </row>
    <row r="18" spans="1:3">
      <c r="A18" t="s">
        <v>70</v>
      </c>
      <c r="C18">
        <f>SQRT(C16^2+C17^2)</f>
        <v>120</v>
      </c>
    </row>
    <row r="19" spans="1:3">
      <c r="A19" t="s">
        <v>86</v>
      </c>
      <c r="C19">
        <f>MOD(ATAN2(C16,C17)*180/PI()+720,360)</f>
        <v>238</v>
      </c>
    </row>
  </sheetData>
  <pageMargins left="0.75" right="0.75" top="1" bottom="1" header="0.5" footer="0.5"/>
  <headerFooter/>
  <drawing r:id="rId1"/>
  <legacyDrawing r:id="rId2"/>
  <oleObjects>
    <mc:AlternateContent xmlns:mc="http://schemas.openxmlformats.org/markup-compatibility/2006">
      <mc:Choice Requires="x14">
        <oleObject shapeId="2049" progId="Equation.KSEE3" r:id="rId3">
          <objectPr defaultSize="0" r:id="rId4">
            <anchor moveWithCells="1">
              <from>
                <xdr:col>3</xdr:col>
                <xdr:colOff>381000</xdr:colOff>
                <xdr:row>11</xdr:row>
                <xdr:rowOff>123825</xdr:rowOff>
              </from>
              <to>
                <xdr:col>6</xdr:col>
                <xdr:colOff>314325</xdr:colOff>
                <xdr:row>14</xdr:row>
                <xdr:rowOff>123825</xdr:rowOff>
              </to>
            </anchor>
          </objectPr>
        </oleObject>
      </mc:Choice>
      <mc:Fallback>
        <oleObject shapeId="2049" progId="Equation.KSEE3" r:id="rId3"/>
      </mc:Fallback>
    </mc:AlternateContent>
    <mc:AlternateContent xmlns:mc="http://schemas.openxmlformats.org/markup-compatibility/2006">
      <mc:Choice Requires="x14">
        <oleObject shapeId="2050" progId="Equation.KSEE3" r:id="rId5">
          <objectPr defaultSize="0" r:id="rId6">
            <anchor moveWithCells="1">
              <from>
                <xdr:col>3</xdr:col>
                <xdr:colOff>371475</xdr:colOff>
                <xdr:row>15</xdr:row>
                <xdr:rowOff>47625</xdr:rowOff>
              </from>
              <to>
                <xdr:col>6</xdr:col>
                <xdr:colOff>104775</xdr:colOff>
                <xdr:row>18</xdr:row>
                <xdr:rowOff>0</xdr:rowOff>
              </to>
            </anchor>
          </objectPr>
        </oleObject>
      </mc:Choice>
      <mc:Fallback>
        <oleObject shapeId="2050" progId="Equation.KSEE3" r:id="rId5"/>
      </mc:Fallback>
    </mc:AlternateContent>
    <mc:AlternateContent xmlns:mc="http://schemas.openxmlformats.org/markup-compatibility/2006">
      <mc:Choice Requires="x14">
        <oleObject shapeId="2051" progId="Equation.KSEE3" r:id="rId7">
          <objectPr defaultSize="0" r:id="rId8">
            <anchor moveWithCells="1">
              <from>
                <xdr:col>3</xdr:col>
                <xdr:colOff>381000</xdr:colOff>
                <xdr:row>18</xdr:row>
                <xdr:rowOff>38100</xdr:rowOff>
              </from>
              <to>
                <xdr:col>5</xdr:col>
                <xdr:colOff>390525</xdr:colOff>
                <xdr:row>21</xdr:row>
                <xdr:rowOff>0</xdr:rowOff>
              </to>
            </anchor>
          </objectPr>
        </oleObject>
      </mc:Choice>
      <mc:Fallback>
        <oleObject shapeId="2051" progId="Equation.KSEE3" r:id="rId7"/>
      </mc:Fallback>
    </mc:AlternateContent>
    <mc:AlternateContent xmlns:mc="http://schemas.openxmlformats.org/markup-compatibility/2006">
      <mc:Choice Requires="x14">
        <oleObject shapeId="2052" progId="Equation.KSEE3" r:id="rId9">
          <objectPr defaultSize="0" r:id="rId10">
            <anchor moveWithCells="1">
              <from>
                <xdr:col>3</xdr:col>
                <xdr:colOff>361950</xdr:colOff>
                <xdr:row>21</xdr:row>
                <xdr:rowOff>76200</xdr:rowOff>
              </from>
              <to>
                <xdr:col>6</xdr:col>
                <xdr:colOff>200025</xdr:colOff>
                <xdr:row>22</xdr:row>
                <xdr:rowOff>142875</xdr:rowOff>
              </to>
            </anchor>
          </objectPr>
        </oleObject>
      </mc:Choice>
      <mc:Fallback>
        <oleObject shapeId="2052" progId="Equation.KSEE3" r:id="rId9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F16"/>
  <sheetViews>
    <sheetView workbookViewId="0">
      <selection activeCell="B7" sqref="B7"/>
    </sheetView>
  </sheetViews>
  <sheetFormatPr defaultColWidth="8.75" defaultRowHeight="13.5" outlineLevelCol="5"/>
  <cols>
    <col min="2" max="2" width="41" customWidth="1"/>
    <col min="3" max="4" width="14"/>
    <col min="6" max="6" width="19.625" customWidth="1"/>
  </cols>
  <sheetData>
    <row r="1" spans="1:6">
      <c r="A1" t="s">
        <v>68</v>
      </c>
      <c r="B1" t="s">
        <v>87</v>
      </c>
      <c r="C1">
        <f>0+LEFT(B1,FIND("∠",B1)-1)</f>
        <v>0.567</v>
      </c>
      <c r="F1" s="1" t="s">
        <v>88</v>
      </c>
    </row>
    <row r="2" spans="1:4">
      <c r="A2" t="s">
        <v>70</v>
      </c>
      <c r="B2" t="s">
        <v>89</v>
      </c>
      <c r="C2">
        <f t="shared" ref="C2:C10" si="0">0+LEFT(B2,FIND("∠",B2)-1)</f>
        <v>120</v>
      </c>
      <c r="D2">
        <f>0+MID(B2,FIND("∠",B2)+1,100)</f>
        <v>30</v>
      </c>
    </row>
    <row r="3" spans="1:6">
      <c r="A3" t="s">
        <v>72</v>
      </c>
      <c r="B3" t="str">
        <f>VecProduct(B1,B2)</f>
        <v>68.04∠142°</v>
      </c>
      <c r="C3">
        <f t="shared" si="0"/>
        <v>68.04</v>
      </c>
      <c r="E3" t="s">
        <v>90</v>
      </c>
      <c r="F3">
        <f>C1</f>
        <v>0.567</v>
      </c>
    </row>
    <row r="4" spans="1:6">
      <c r="A4" t="s">
        <v>73</v>
      </c>
      <c r="B4">
        <v>300</v>
      </c>
      <c r="E4" t="s">
        <v>84</v>
      </c>
      <c r="F4">
        <f>C2*COS(D2/180*PI())</f>
        <v>103.923048454133</v>
      </c>
    </row>
    <row r="5" spans="1:6">
      <c r="A5" t="s">
        <v>74</v>
      </c>
      <c r="B5" t="str">
        <f>B4&amp;"∠"&amp;0</f>
        <v>300∠0</v>
      </c>
      <c r="C5">
        <f t="shared" si="0"/>
        <v>300</v>
      </c>
      <c r="E5" t="s">
        <v>85</v>
      </c>
      <c r="F5">
        <f>C2*SIN(D2/180*PI())</f>
        <v>60</v>
      </c>
    </row>
    <row r="6" spans="1:6">
      <c r="A6" t="s">
        <v>75</v>
      </c>
      <c r="B6" t="str">
        <f>VecAdd(B$2,B5)</f>
        <v>408.355028219905∠8.44911336217831°</v>
      </c>
      <c r="C6">
        <f t="shared" si="0"/>
        <v>408.355028219905</v>
      </c>
      <c r="E6" t="s">
        <v>91</v>
      </c>
      <c r="F6">
        <f>F3^2*(F4^2+F5^2)</f>
        <v>4629.4416</v>
      </c>
    </row>
    <row r="7" spans="1:6">
      <c r="A7" t="s">
        <v>76</v>
      </c>
      <c r="B7" t="str">
        <f>VecProduct(B$1,B6)</f>
        <v>231.537301000686∠120.449113362178°</v>
      </c>
      <c r="C7">
        <f t="shared" si="0"/>
        <v>231.537301000686</v>
      </c>
      <c r="E7" t="s">
        <v>92</v>
      </c>
      <c r="F7">
        <f>C3^2</f>
        <v>4629.4416</v>
      </c>
    </row>
    <row r="8" spans="1:3">
      <c r="A8" t="s">
        <v>77</v>
      </c>
      <c r="B8" t="str">
        <f>B4&amp;"∠"&amp;180</f>
        <v>300∠180</v>
      </c>
      <c r="C8">
        <f t="shared" si="0"/>
        <v>300</v>
      </c>
    </row>
    <row r="9" spans="1:3">
      <c r="A9" t="s">
        <v>78</v>
      </c>
      <c r="B9" t="str">
        <f>VecAdd(B$2,B8)</f>
        <v>205.051629907008∠162.985768300307°</v>
      </c>
      <c r="C9">
        <f t="shared" si="0"/>
        <v>205.051629907008</v>
      </c>
    </row>
    <row r="10" spans="1:3">
      <c r="A10" t="s">
        <v>79</v>
      </c>
      <c r="B10" t="str">
        <f>VecProduct(B$1,B9)</f>
        <v>116.264274157274∠274.985768300307°</v>
      </c>
      <c r="C10">
        <f t="shared" si="0"/>
        <v>116.264274157274</v>
      </c>
    </row>
    <row r="12" spans="1:4">
      <c r="A12" t="s">
        <v>83</v>
      </c>
      <c r="C12">
        <f>SQRT((C7^2+C10^2-2*C3^2)/(2*B4^2))</f>
        <v>0.567</v>
      </c>
      <c r="D12">
        <f>C12</f>
        <v>0.567</v>
      </c>
    </row>
    <row r="13" spans="1:4">
      <c r="A13" t="s">
        <v>84</v>
      </c>
      <c r="C13">
        <f>(C7^2-C3^2)/(2*C5*C12^2)-C5/2</f>
        <v>103.923048454132</v>
      </c>
      <c r="D13">
        <f>C13</f>
        <v>103.923048454132</v>
      </c>
    </row>
    <row r="14" spans="1:4">
      <c r="A14" t="s">
        <v>85</v>
      </c>
      <c r="C14">
        <f>SQRT(C3^2/C12^2-C13^2)</f>
        <v>60.0000000000013</v>
      </c>
      <c r="D14">
        <f>-SQRT(C3^2/C12^2-C13^2)</f>
        <v>-60.0000000000013</v>
      </c>
    </row>
    <row r="15" spans="1:4">
      <c r="A15" t="s">
        <v>70</v>
      </c>
      <c r="C15">
        <f>SQRT(C13^2+C14^2)</f>
        <v>120</v>
      </c>
      <c r="D15">
        <f>SQRT(D13^2+D14^2)</f>
        <v>120</v>
      </c>
    </row>
    <row r="16" spans="1:4">
      <c r="A16" t="s">
        <v>86</v>
      </c>
      <c r="C16">
        <f>MOD(ATAN2(C13,C14)*180/PI()+720,360)</f>
        <v>30.0000000000008</v>
      </c>
      <c r="D16">
        <f>MOD(ATAN2(D13,D14)*180/PI()+720,360)</f>
        <v>329.999999999999</v>
      </c>
    </row>
  </sheetData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F498"/>
  <sheetViews>
    <sheetView workbookViewId="0">
      <selection activeCell="A1" sqref="A1:F33"/>
    </sheetView>
  </sheetViews>
  <sheetFormatPr defaultColWidth="8.75" defaultRowHeight="13.5" outlineLevelCol="5"/>
  <cols>
    <col min="2" max="2" width="40.25" customWidth="1"/>
    <col min="3" max="3" width="12.875" customWidth="1"/>
    <col min="4" max="4" width="29.375" customWidth="1"/>
  </cols>
  <sheetData>
    <row r="1" spans="1:6">
      <c r="A1" t="s">
        <v>68</v>
      </c>
      <c r="B1" t="s">
        <v>93</v>
      </c>
      <c r="C1">
        <f t="shared" ref="C1:C10" si="0">0+LEFT(B1,FIND("∠",B1)-1)</f>
        <v>0.25</v>
      </c>
      <c r="F1" s="1" t="s">
        <v>94</v>
      </c>
    </row>
    <row r="2" spans="1:4">
      <c r="A2" t="s">
        <v>70</v>
      </c>
      <c r="B2" t="s">
        <v>95</v>
      </c>
      <c r="C2">
        <f t="shared" si="0"/>
        <v>400</v>
      </c>
      <c r="D2">
        <f>0+MID(B2,FIND("∠",B2)+1,100)</f>
        <v>290</v>
      </c>
    </row>
    <row r="3" spans="1:6">
      <c r="A3" t="s">
        <v>72</v>
      </c>
      <c r="B3" t="str">
        <f>VecProduct(B1,B2)</f>
        <v>100∠208°</v>
      </c>
      <c r="C3">
        <f t="shared" si="0"/>
        <v>100</v>
      </c>
      <c r="E3" t="s">
        <v>90</v>
      </c>
      <c r="F3">
        <f>C1</f>
        <v>0.25</v>
      </c>
    </row>
    <row r="4" spans="1:6">
      <c r="A4" t="s">
        <v>73</v>
      </c>
      <c r="B4">
        <v>300</v>
      </c>
      <c r="E4" t="s">
        <v>84</v>
      </c>
      <c r="F4">
        <f>C2*COS(D2/180*PI())</f>
        <v>136.808057330268</v>
      </c>
    </row>
    <row r="5" spans="1:6">
      <c r="A5" t="s">
        <v>74</v>
      </c>
      <c r="B5" t="str">
        <f>B4&amp;"∠"&amp;0</f>
        <v>300∠0</v>
      </c>
      <c r="C5">
        <f t="shared" si="0"/>
        <v>300</v>
      </c>
      <c r="E5" t="s">
        <v>85</v>
      </c>
      <c r="F5">
        <f>C2*SIN(D2/180*PI())</f>
        <v>-375.877048314363</v>
      </c>
    </row>
    <row r="6" spans="1:6">
      <c r="A6" t="s">
        <v>75</v>
      </c>
      <c r="B6" t="str">
        <f>VecAdd(B$2,B5)</f>
        <v>576.268023057118∠319.287724963123°</v>
      </c>
      <c r="C6">
        <f t="shared" si="0"/>
        <v>576.268023057118</v>
      </c>
      <c r="E6" t="s">
        <v>91</v>
      </c>
      <c r="F6">
        <f>F3^2*(F4^2+F5^2)</f>
        <v>10000</v>
      </c>
    </row>
    <row r="7" spans="1:6">
      <c r="A7" t="s">
        <v>76</v>
      </c>
      <c r="B7" t="str">
        <f>VecProduct(B$1,B6)</f>
        <v>144.067005764279∠237.287724963123°</v>
      </c>
      <c r="C7">
        <f t="shared" si="0"/>
        <v>144.067005764279</v>
      </c>
      <c r="E7" t="s">
        <v>92</v>
      </c>
      <c r="F7">
        <f>C3^2</f>
        <v>10000</v>
      </c>
    </row>
    <row r="8" spans="1:3">
      <c r="A8" t="s">
        <v>77</v>
      </c>
      <c r="B8" t="str">
        <f>B4&amp;"∠"&amp;90</f>
        <v>300∠90</v>
      </c>
      <c r="C8">
        <f t="shared" si="0"/>
        <v>300</v>
      </c>
    </row>
    <row r="9" spans="1:3">
      <c r="A9" t="s">
        <v>78</v>
      </c>
      <c r="B9" t="str">
        <f>VecAdd(B$2,B8)</f>
        <v>156.440950557652∠330.986192747874°</v>
      </c>
      <c r="C9">
        <f t="shared" si="0"/>
        <v>156.440950557652</v>
      </c>
    </row>
    <row r="10" spans="1:3">
      <c r="A10" t="s">
        <v>79</v>
      </c>
      <c r="B10" t="str">
        <f>VecProduct(B$1,B9)</f>
        <v>39.110237639413∠248.986192747874°</v>
      </c>
      <c r="C10">
        <f t="shared" si="0"/>
        <v>39.110237639413</v>
      </c>
    </row>
    <row r="12" spans="1:4">
      <c r="A12" t="s">
        <v>90</v>
      </c>
      <c r="B12">
        <f>D496</f>
        <v>0.249999999999998</v>
      </c>
      <c r="C12" t="s">
        <v>96</v>
      </c>
      <c r="D12">
        <f>B4</f>
        <v>300</v>
      </c>
    </row>
    <row r="13" spans="1:4">
      <c r="A13" t="s">
        <v>84</v>
      </c>
      <c r="B13">
        <f>D497</f>
        <v>136.808057330266</v>
      </c>
      <c r="C13" t="s">
        <v>97</v>
      </c>
      <c r="D13" s="2">
        <f>C3*C3</f>
        <v>10000</v>
      </c>
    </row>
    <row r="14" spans="1:4">
      <c r="A14" t="s">
        <v>85</v>
      </c>
      <c r="B14">
        <f>D498</f>
        <v>-375.877048314367</v>
      </c>
      <c r="C14" t="s">
        <v>98</v>
      </c>
      <c r="D14" s="2">
        <f>C7*C7</f>
        <v>20755.3021498848</v>
      </c>
    </row>
    <row r="15" spans="1:4">
      <c r="A15" t="s">
        <v>70</v>
      </c>
      <c r="B15">
        <f>SQRT(B13^2+B14^2)</f>
        <v>400.000000000003</v>
      </c>
      <c r="C15" t="s">
        <v>99</v>
      </c>
      <c r="D15" s="2">
        <f>C10*C10</f>
        <v>1529.61068821136</v>
      </c>
    </row>
    <row r="16" spans="1:4">
      <c r="A16" t="s">
        <v>86</v>
      </c>
      <c r="B16">
        <f>MOD(ATAN2(B13,B14)*180/PI()+720,360)</f>
        <v>290</v>
      </c>
      <c r="C16" t="s">
        <v>100</v>
      </c>
      <c r="D16">
        <v>0.2</v>
      </c>
    </row>
    <row r="17" spans="4:4">
      <c r="D17">
        <v>-100</v>
      </c>
    </row>
    <row r="18" spans="4:4">
      <c r="D18">
        <v>-200</v>
      </c>
    </row>
    <row r="19" spans="3:4">
      <c r="C19" t="s">
        <v>101</v>
      </c>
      <c r="D19">
        <f>D16^2*(D17^2+D18^2)-D$13</f>
        <v>-8000</v>
      </c>
    </row>
    <row r="20" spans="4:4">
      <c r="D20">
        <f>D16^2*((D17+D$12)^2+D18^2)-D$14</f>
        <v>-17555.3021498848</v>
      </c>
    </row>
    <row r="21" spans="4:4">
      <c r="D21">
        <f>D16^2*(D17^2+(D18+D$12)^2)-D$15</f>
        <v>-729.610688211357</v>
      </c>
    </row>
    <row r="22" spans="3:6">
      <c r="C22" t="s">
        <v>102</v>
      </c>
      <c r="D22">
        <f>2*D16*(D17^2+D18^2)</f>
        <v>20000</v>
      </c>
      <c r="E22">
        <f>2*D17*D16^2</f>
        <v>-8</v>
      </c>
      <c r="F22">
        <f>2*D18*D16^2</f>
        <v>-16</v>
      </c>
    </row>
    <row r="23" spans="4:6">
      <c r="D23">
        <f>2*D16*((D17+D$12)^2+D18^2)</f>
        <v>32000</v>
      </c>
      <c r="E23">
        <f>2*(D17+D$12)*D16^2</f>
        <v>16</v>
      </c>
      <c r="F23">
        <f>2*D18*D16^2</f>
        <v>-16</v>
      </c>
    </row>
    <row r="24" spans="4:6">
      <c r="D24">
        <f>2*D16*(D17^2+(D18+D$12)^2)</f>
        <v>8000</v>
      </c>
      <c r="E24">
        <f>2*D17*D16^2</f>
        <v>-8</v>
      </c>
      <c r="F24">
        <f>2*(D18+D$12)*D16^2</f>
        <v>8</v>
      </c>
    </row>
    <row r="25" spans="3:4">
      <c r="C25" t="s">
        <v>103</v>
      </c>
      <c r="D25">
        <f t="array" ref="D25">SUMPRODUCT(D16:D18,TRANSPOSE(D22:F22))</f>
        <v>8000</v>
      </c>
    </row>
    <row r="26" spans="4:4">
      <c r="D26">
        <f t="array" ref="D26">SUMPRODUCT(D16:D18,TRANSPOSE(D23:F23))</f>
        <v>8000</v>
      </c>
    </row>
    <row r="27" spans="4:4">
      <c r="D27">
        <f t="array" ref="D27">SUMPRODUCT(D16:D18,TRANSPOSE(D24:F24))</f>
        <v>800</v>
      </c>
    </row>
    <row r="28" spans="3:4">
      <c r="C28" t="s">
        <v>104</v>
      </c>
      <c r="D28">
        <f t="shared" ref="D28:D30" si="1">D25-D19</f>
        <v>16000</v>
      </c>
    </row>
    <row r="29" spans="4:4">
      <c r="D29">
        <f t="shared" si="1"/>
        <v>25555.3021498848</v>
      </c>
    </row>
    <row r="30" spans="4:4">
      <c r="D30">
        <f t="shared" si="1"/>
        <v>1529.61068821136</v>
      </c>
    </row>
    <row r="31" spans="3:4">
      <c r="C31" t="s">
        <v>105</v>
      </c>
      <c r="D31">
        <f t="array" ref="D31:D33">lapack_dgesv(D22:F24,D28:D30)</f>
        <v>0.596135906798073</v>
      </c>
    </row>
    <row r="32" spans="4:4">
      <c r="D32">
        <v>100.069636179497</v>
      </c>
    </row>
    <row r="33" spans="4:4">
      <c r="D33">
        <v>-304.864934592157</v>
      </c>
    </row>
    <row r="34" spans="3:4">
      <c r="C34" t="s">
        <v>101</v>
      </c>
      <c r="D34">
        <f>D31^2*(D32^2+D33^2)-D$13</f>
        <v>26588.4985268053</v>
      </c>
    </row>
    <row r="35" spans="4:4">
      <c r="D35">
        <f>D31^2*((D32+D$12)^2+D33^2)-D$14</f>
        <v>69154.7475835425</v>
      </c>
    </row>
    <row r="36" spans="4:4">
      <c r="D36">
        <f>D31^2*(D32^2+(D33+D$12)^2)-D$15</f>
        <v>2037.53160309075</v>
      </c>
    </row>
    <row r="37" spans="3:6">
      <c r="C37" t="s">
        <v>102</v>
      </c>
      <c r="D37">
        <f>2*D31*(D32^2+D33^2)</f>
        <v>122752.205024278</v>
      </c>
      <c r="E37">
        <f>2*D32*D31^2</f>
        <v>71.1250982098848</v>
      </c>
      <c r="F37">
        <f>2*D33*D31^2</f>
        <v>-216.684593263866</v>
      </c>
    </row>
    <row r="38" spans="4:6">
      <c r="D38">
        <f>2*D31*((D32+D$12)^2+D33^2)</f>
        <v>301642.792216112</v>
      </c>
      <c r="E38">
        <f>2*(D32+D$12)*D31^2</f>
        <v>284.351909834261</v>
      </c>
      <c r="F38">
        <f>2*D33*D31^2</f>
        <v>-216.684593263866</v>
      </c>
    </row>
    <row r="39" spans="4:6">
      <c r="D39">
        <f>2*D31*(D32^2+(D33+D$12)^2)</f>
        <v>11967.5471670939</v>
      </c>
      <c r="E39">
        <f>2*D32*D31^2</f>
        <v>71.1250982098848</v>
      </c>
      <c r="F39">
        <f>2*(D33+D$12)*D31^2</f>
        <v>-3.45778163948912</v>
      </c>
    </row>
    <row r="40" spans="3:4">
      <c r="C40" t="s">
        <v>103</v>
      </c>
      <c r="D40">
        <f t="array" ref="D40">SUMPRODUCT(D31:D33,TRANSPOSE(D37:F37))</f>
        <v>146353.994107221</v>
      </c>
    </row>
    <row r="41" spans="4:4">
      <c r="D41">
        <f t="array" ref="D41">SUMPRODUCT(D31:D33,TRANSPOSE(D38:F38))</f>
        <v>274334.625983431</v>
      </c>
    </row>
    <row r="42" spans="4:4">
      <c r="D42">
        <f t="array" ref="D42">SUMPRODUCT(D31:D33,TRANSPOSE(D39:F39))</f>
        <v>15305.9036570552</v>
      </c>
    </row>
    <row r="43" spans="3:4">
      <c r="C43" t="s">
        <v>104</v>
      </c>
      <c r="D43">
        <f t="shared" ref="D43:D45" si="2">D40-D34</f>
        <v>119765.495580416</v>
      </c>
    </row>
    <row r="44" spans="4:4">
      <c r="D44">
        <f t="shared" si="2"/>
        <v>205179.878399888</v>
      </c>
    </row>
    <row r="45" spans="4:4">
      <c r="D45">
        <f t="shared" si="2"/>
        <v>13268.3720539644</v>
      </c>
    </row>
    <row r="46" spans="3:4">
      <c r="C46" t="s">
        <v>105</v>
      </c>
      <c r="D46">
        <f t="array" ref="D46:D48">lapack_dgesv(D37:F39,D43:D45)</f>
        <v>0.342417748492332</v>
      </c>
    </row>
    <row r="47" spans="4:4">
      <c r="D47">
        <v>113.302218153184</v>
      </c>
    </row>
    <row r="48" spans="4:4">
      <c r="D48">
        <v>-321.547228949247</v>
      </c>
    </row>
    <row r="49" spans="3:4">
      <c r="C49" t="s">
        <v>101</v>
      </c>
      <c r="D49">
        <f>D46^2*(D47^2+D48^2)-D$13</f>
        <v>3627.95909433189</v>
      </c>
    </row>
    <row r="50" spans="4:4">
      <c r="D50">
        <f>D46^2*((D47+D$12)^2+D48^2)-D$14</f>
        <v>11395.9544813643</v>
      </c>
    </row>
    <row r="51" spans="4:4">
      <c r="D51">
        <f>D46^2*(D47^2+(D48+D$12)^2)-D$15</f>
        <v>30.0096517091172</v>
      </c>
    </row>
    <row r="52" spans="3:6">
      <c r="C52" t="s">
        <v>102</v>
      </c>
      <c r="D52">
        <f>2*D46*(D47^2+D48^2)</f>
        <v>79598.4387744847</v>
      </c>
      <c r="E52">
        <f>2*D47*D46^2</f>
        <v>26.56935077829</v>
      </c>
      <c r="F52">
        <f>2*D48*D46^2</f>
        <v>-75.4027701928054</v>
      </c>
    </row>
    <row r="53" spans="4:6">
      <c r="D53">
        <f>2*D46*((D47+D$12)^2+D48^2)</f>
        <v>187789.662030145</v>
      </c>
      <c r="E53">
        <f>2*(D47+D$12)*D46^2</f>
        <v>96.9192994678248</v>
      </c>
      <c r="F53">
        <f>2*D48*D46^2</f>
        <v>-75.4027701928054</v>
      </c>
    </row>
    <row r="54" spans="4:6">
      <c r="D54">
        <f>2*D46*(D47^2+(D48+D$12)^2)</f>
        <v>9109.45969820487</v>
      </c>
      <c r="E54">
        <f>2*D47*D46^2</f>
        <v>26.56935077829</v>
      </c>
      <c r="F54">
        <f>2*(D48+D$12)*D46^2</f>
        <v>-5.05282150327066</v>
      </c>
    </row>
    <row r="55" spans="3:4">
      <c r="C55" t="s">
        <v>103</v>
      </c>
      <c r="D55">
        <f t="array" ref="D55">SUMPRODUCT(D46:D48,TRANSPOSE(D52:F52))</f>
        <v>54511.8363773276</v>
      </c>
    </row>
    <row r="56" spans="4:4">
      <c r="D56">
        <f t="array" ref="D56">SUMPRODUCT(D46:D48,TRANSPOSE(D53:F53))</f>
        <v>99529.236684649</v>
      </c>
    </row>
    <row r="57" spans="4:4">
      <c r="D57">
        <f t="array" ref="D57">SUMPRODUCT(D46:D48,TRANSPOSE(D54:F54))</f>
        <v>7754.3278106631</v>
      </c>
    </row>
    <row r="58" spans="3:4">
      <c r="C58" t="s">
        <v>104</v>
      </c>
      <c r="D58">
        <f t="shared" ref="D58:D60" si="3">D55-D49</f>
        <v>50883.8772829957</v>
      </c>
    </row>
    <row r="59" spans="4:4">
      <c r="D59">
        <f t="shared" si="3"/>
        <v>88133.2822032847</v>
      </c>
    </row>
    <row r="60" spans="4:4">
      <c r="D60">
        <f t="shared" si="3"/>
        <v>7724.31815895398</v>
      </c>
    </row>
    <row r="61" spans="3:4">
      <c r="C61" t="s">
        <v>105</v>
      </c>
      <c r="D61">
        <f t="array" ref="D61:D63">lapack_dgesv(D52:F54,D58:D60)</f>
        <v>0.256522471511177</v>
      </c>
    </row>
    <row r="62" spans="4:4">
      <c r="D62">
        <v>134.981263125529</v>
      </c>
    </row>
    <row r="63" spans="4:4">
      <c r="D63">
        <v>-356.46866080551</v>
      </c>
    </row>
    <row r="64" spans="3:4">
      <c r="C64" t="s">
        <v>101</v>
      </c>
      <c r="D64">
        <f>D61^2*(D62^2+D63^2)-D$13</f>
        <v>-439.379070695042</v>
      </c>
    </row>
    <row r="65" spans="4:4">
      <c r="D65">
        <f>D61^2*((D62+D$12)^2+D63^2)-D$14</f>
        <v>57.025109863509</v>
      </c>
    </row>
    <row r="66" spans="4:4">
      <c r="D66">
        <f>D61^2*(D62^2+(D63+D$12)^2)-D$15</f>
        <v>-120.840559006976</v>
      </c>
    </row>
    <row r="67" spans="3:6">
      <c r="C67" t="s">
        <v>102</v>
      </c>
      <c r="D67">
        <f>2*D61*(D62^2+D63^2)</f>
        <v>74540.2215484923</v>
      </c>
      <c r="E67">
        <f>2*D62*D61^2</f>
        <v>17.7645542510838</v>
      </c>
      <c r="F67">
        <f>2*D63*D61^2</f>
        <v>-46.913969517396</v>
      </c>
    </row>
    <row r="68" spans="4:6">
      <c r="D68">
        <f>2*D61*((D62+D$12)^2+D63^2)</f>
        <v>162265.139090097</v>
      </c>
      <c r="E68">
        <f>2*(D62+D$12)*D61^2</f>
        <v>57.2468212852052</v>
      </c>
      <c r="F68">
        <f>2*D63*D61^2</f>
        <v>-46.913969517396</v>
      </c>
    </row>
    <row r="69" spans="4:6">
      <c r="D69">
        <f>2*D61*(D62^2+(D63+D$12)^2)</f>
        <v>10983.6001571738</v>
      </c>
      <c r="E69">
        <f>2*D62*D61^2</f>
        <v>17.7645542510838</v>
      </c>
      <c r="F69">
        <f>2*(D63+D$12)*D61^2</f>
        <v>-7.43170248327453</v>
      </c>
    </row>
    <row r="70" spans="3:4">
      <c r="C70" t="s">
        <v>103</v>
      </c>
      <c r="D70">
        <f t="array" ref="D70">SUMPRODUCT(D61:D63,TRANSPOSE(D67:F67))</f>
        <v>38242.4837172198</v>
      </c>
    </row>
    <row r="71" spans="4:4">
      <c r="D71">
        <f t="array" ref="D71">SUMPRODUCT(D61:D63,TRANSPOSE(D68:F68))</f>
        <v>66075.2626534317</v>
      </c>
    </row>
    <row r="72" spans="4:4">
      <c r="D72">
        <f t="array" ref="D72">SUMPRODUCT(D61:D63,TRANSPOSE(D69:F69))</f>
        <v>7864.59126179988</v>
      </c>
    </row>
    <row r="73" spans="3:4">
      <c r="C73" t="s">
        <v>104</v>
      </c>
      <c r="D73">
        <f t="shared" ref="D73:D75" si="4">D70-D64</f>
        <v>38681.8627879149</v>
      </c>
    </row>
    <row r="74" spans="4:4">
      <c r="D74">
        <f t="shared" si="4"/>
        <v>66018.2375435682</v>
      </c>
    </row>
    <row r="75" spans="4:4">
      <c r="D75">
        <f t="shared" si="4"/>
        <v>7985.43182080686</v>
      </c>
    </row>
    <row r="76" spans="3:4">
      <c r="C76" t="s">
        <v>105</v>
      </c>
      <c r="D76">
        <f t="array" ref="D76:D78">lapack_dgesv(D67:F69,D73:D75)</f>
        <v>0.249495746891267</v>
      </c>
    </row>
    <row r="77" spans="4:4">
      <c r="D77">
        <v>138.02097351518</v>
      </c>
    </row>
    <row r="78" spans="4:4">
      <c r="D78">
        <v>-375.847826325957</v>
      </c>
    </row>
    <row r="79" spans="3:4">
      <c r="C79" t="s">
        <v>101</v>
      </c>
      <c r="D79">
        <f>D76^2*(D77^2+D78^2)-D$13</f>
        <v>-20.9168874637016</v>
      </c>
    </row>
    <row r="80" spans="4:4">
      <c r="D80">
        <f>D76^2*((D77+D$12)^2+D78^2)-D$14</f>
        <v>-18.9592306491322</v>
      </c>
    </row>
    <row r="81" spans="4:4">
      <c r="D81">
        <f>D76^2*(D77^2+(D78+D$12)^2)-D$15</f>
        <v>14.3098217008396</v>
      </c>
    </row>
    <row r="82" spans="3:6">
      <c r="C82" t="s">
        <v>102</v>
      </c>
      <c r="D82">
        <f>2*D76*(D77^2+D78^2)</f>
        <v>79994.0138208873</v>
      </c>
      <c r="E82">
        <f>2*D77*D76^2</f>
        <v>17.1830943739486</v>
      </c>
      <c r="F82">
        <f>2*D78*D76^2</f>
        <v>-46.791646990463</v>
      </c>
    </row>
    <row r="83" spans="4:6">
      <c r="D83">
        <f>2*D76*((D77+D$12)^2+D78^2)</f>
        <v>166226.023309911</v>
      </c>
      <c r="E83">
        <f>2*(D77+D$12)*D76^2</f>
        <v>54.5319710040472</v>
      </c>
      <c r="F83">
        <f>2*D78*D76^2</f>
        <v>-46.791646990463</v>
      </c>
    </row>
    <row r="84" spans="4:6">
      <c r="D84">
        <f>2*D76*(D77^2+(D78+D$12)^2)</f>
        <v>12376.3272853309</v>
      </c>
      <c r="E84">
        <f>2*D77*D76^2</f>
        <v>17.1830943739486</v>
      </c>
      <c r="F84">
        <f>2*(D78+D$12)*D76^2</f>
        <v>-9.44277036036434</v>
      </c>
    </row>
    <row r="85" spans="3:4">
      <c r="C85" t="s">
        <v>103</v>
      </c>
      <c r="D85">
        <f t="array" ref="D85">SUMPRODUCT(D76:D78,TRANSPOSE(D82:F82))</f>
        <v>39916.3324501452</v>
      </c>
    </row>
    <row r="86" spans="4:4">
      <c r="D86">
        <f t="array" ref="D86">SUMPRODUCT(D76:D78,TRANSPOSE(D83:F83))</f>
        <v>66585.7803757285</v>
      </c>
    </row>
    <row r="87" spans="4:4">
      <c r="D87">
        <f t="array" ref="D87">SUMPRODUCT(D76:D78,TRANSPOSE(D84:F84))</f>
        <v>9008.51314775809</v>
      </c>
    </row>
    <row r="88" spans="3:4">
      <c r="C88" t="s">
        <v>104</v>
      </c>
      <c r="D88">
        <f t="shared" ref="D88:D90" si="5">D85-D79</f>
        <v>39937.2493376089</v>
      </c>
    </row>
    <row r="89" spans="4:4">
      <c r="D89">
        <f t="shared" si="5"/>
        <v>66604.7396063776</v>
      </c>
    </row>
    <row r="90" spans="4:4">
      <c r="D90">
        <f t="shared" si="5"/>
        <v>8994.20332605725</v>
      </c>
    </row>
    <row r="91" spans="3:4">
      <c r="C91" t="s">
        <v>105</v>
      </c>
      <c r="D91">
        <f t="array" ref="D91:D93">lapack_dgesv(D82:F84,D88:D90)</f>
        <v>0.249998437094366</v>
      </c>
    </row>
    <row r="92" spans="4:4">
      <c r="D92">
        <v>136.80793453607</v>
      </c>
    </row>
    <row r="93" spans="4:4">
      <c r="D93">
        <v>-375.880918635509</v>
      </c>
    </row>
    <row r="94" spans="3:4">
      <c r="C94" t="s">
        <v>101</v>
      </c>
      <c r="D94">
        <f>D91^2*(D92^2+D93^2)-D$13</f>
        <v>0.0547123364485742</v>
      </c>
    </row>
    <row r="95" spans="4:4">
      <c r="D95">
        <f>D91^2*((D92+D$12)^2+D93^2)-D$14</f>
        <v>-0.0843681463848043</v>
      </c>
    </row>
    <row r="96" spans="4:4">
      <c r="D96">
        <f>D91^2*(D92^2+(D93+D$12)^2)-D$15</f>
        <v>0.0154841305420632</v>
      </c>
    </row>
    <row r="97" spans="3:6">
      <c r="C97" t="s">
        <v>102</v>
      </c>
      <c r="D97">
        <f>2*D91*(D92^2+D93^2)</f>
        <v>80000.9378343574</v>
      </c>
      <c r="E97">
        <f>2*D92*D91^2</f>
        <v>17.1007779997855</v>
      </c>
      <c r="F97">
        <f>2*D93*D91^2</f>
        <v>-46.9845273648696</v>
      </c>
    </row>
    <row r="98" spans="4:6">
      <c r="D98">
        <f>2*D91*((D92+D$12)^2+D93^2)</f>
        <v>166042.780290694</v>
      </c>
      <c r="E98">
        <f>2*(D92+D$12)*D91^2</f>
        <v>54.600309129561</v>
      </c>
      <c r="F98">
        <f>2*D93*D91^2</f>
        <v>-46.9845273648696</v>
      </c>
    </row>
    <row r="99" spans="4:6">
      <c r="D99">
        <f>2*D91*(D92^2+(D93+D$12)^2)</f>
        <v>12237.085880377</v>
      </c>
      <c r="E99">
        <f>2*D92*D91^2</f>
        <v>17.1007779997855</v>
      </c>
      <c r="F99">
        <f>2*(D93+D$12)*D91^2</f>
        <v>-9.48499623509408</v>
      </c>
    </row>
    <row r="100" spans="3:4">
      <c r="C100" t="s">
        <v>103</v>
      </c>
      <c r="D100">
        <f t="array" ref="D100">SUMPRODUCT(D91:D93,TRANSPOSE(D97:F97))</f>
        <v>40000.2188493458</v>
      </c>
    </row>
    <row r="101" spans="4:4">
      <c r="D101">
        <f t="array" ref="D101">SUMPRODUCT(D91:D93,TRANSPOSE(D98:F98))</f>
        <v>66640.7783880854</v>
      </c>
    </row>
    <row r="102" spans="4:4">
      <c r="D102">
        <f t="array" ref="D102">SUMPRODUCT(D91:D93,TRANSPOSE(D99:F99))</f>
        <v>8964.00355989582</v>
      </c>
    </row>
    <row r="103" spans="3:4">
      <c r="C103" t="s">
        <v>104</v>
      </c>
      <c r="D103">
        <f t="shared" ref="D103:D105" si="6">D100-D94</f>
        <v>40000.1641370093</v>
      </c>
    </row>
    <row r="104" spans="4:4">
      <c r="D104">
        <f t="shared" si="6"/>
        <v>66640.8627562318</v>
      </c>
    </row>
    <row r="105" spans="4:4">
      <c r="D105">
        <f t="shared" si="6"/>
        <v>8963.98807576528</v>
      </c>
    </row>
    <row r="106" spans="3:4">
      <c r="C106" t="s">
        <v>105</v>
      </c>
      <c r="D106">
        <f t="array" ref="D106:D108">lapack_dgesv(D97:F99,D103:D105)</f>
        <v>0.249999999983652</v>
      </c>
    </row>
    <row r="107" spans="4:4">
      <c r="D107">
        <v>136.808057380516</v>
      </c>
    </row>
    <row r="108" spans="4:4">
      <c r="D108">
        <v>-375.877048304341</v>
      </c>
    </row>
    <row r="109" spans="3:4">
      <c r="C109" t="s">
        <v>101</v>
      </c>
      <c r="D109">
        <f>D106^2*(D107^2+D108^2)-D$13</f>
        <v>-9.19408194022253e-7</v>
      </c>
    </row>
    <row r="110" spans="4:4">
      <c r="D110">
        <f>D106^2*((D107+D$12)^2+D108^2)-D$14</f>
        <v>-4.41461452282965e-7</v>
      </c>
    </row>
    <row r="111" spans="4:4">
      <c r="D111">
        <f>D106^2*(D107^2+(D108+D$12)^2)-D$15</f>
        <v>5.6421231420245e-7</v>
      </c>
    </row>
    <row r="112" spans="3:6">
      <c r="C112" t="s">
        <v>102</v>
      </c>
      <c r="D112">
        <f>2*D106*(D107^2+D108^2)</f>
        <v>79999.999997876</v>
      </c>
      <c r="E112">
        <f>2*D107*D106^2</f>
        <v>17.101007170328</v>
      </c>
      <c r="F112">
        <f>2*D108*D106^2</f>
        <v>-46.9846310318979</v>
      </c>
    </row>
    <row r="113" spans="4:6">
      <c r="D113">
        <f>2*D106*((D107+D$12)^2+D108^2)</f>
        <v>166042.417206404</v>
      </c>
      <c r="E113">
        <f>2*(D107+D$12)*D106^2</f>
        <v>54.6010071654237</v>
      </c>
      <c r="F113">
        <f>2*D108*D106^2</f>
        <v>-46.9846310318979</v>
      </c>
    </row>
    <row r="114" spans="4:6">
      <c r="D114">
        <f>2*D106*(D107^2+(D108+D$12)^2)</f>
        <v>12236.8855110047</v>
      </c>
      <c r="E114">
        <f>2*D107*D106^2</f>
        <v>17.101007170328</v>
      </c>
      <c r="F114">
        <f>2*(D108+D$12)*D106^2</f>
        <v>-9.48463103680223</v>
      </c>
    </row>
    <row r="115" spans="3:4">
      <c r="C115" t="s">
        <v>103</v>
      </c>
      <c r="D115">
        <f t="array" ref="D115">SUMPRODUCT(D106:D108,TRANSPOSE(D112:F112))</f>
        <v>39999.9999963224</v>
      </c>
    </row>
    <row r="116" spans="4:4">
      <c r="D116">
        <f t="array" ref="D116">SUMPRODUCT(D106:D108,TRANSPOSE(D113:F113))</f>
        <v>66640.9064481463</v>
      </c>
    </row>
    <row r="117" spans="4:4">
      <c r="D117">
        <f t="array" ref="D117">SUMPRODUCT(D106:D108,TRANSPOSE(D114:F114))</f>
        <v>8963.83206614295</v>
      </c>
    </row>
    <row r="118" spans="3:4">
      <c r="C118" t="s">
        <v>104</v>
      </c>
      <c r="D118">
        <f t="shared" ref="D118:D120" si="7">D115-D109</f>
        <v>39999.9999972418</v>
      </c>
    </row>
    <row r="119" spans="4:4">
      <c r="D119">
        <f t="shared" si="7"/>
        <v>66640.9064485877</v>
      </c>
    </row>
    <row r="120" spans="4:4">
      <c r="D120">
        <f t="shared" si="7"/>
        <v>8963.83206557874</v>
      </c>
    </row>
    <row r="121" spans="3:4">
      <c r="C121" t="s">
        <v>105</v>
      </c>
      <c r="D121">
        <f t="array" ref="D121:D123">lapack_dgesv(D112:F114,D118:D120)</f>
        <v>0.249999999999998</v>
      </c>
    </row>
    <row r="122" spans="4:4">
      <c r="D122">
        <v>136.808057330266</v>
      </c>
    </row>
    <row r="123" spans="4:4">
      <c r="D123">
        <v>-375.877048314367</v>
      </c>
    </row>
    <row r="124" spans="3:4">
      <c r="C124" t="s">
        <v>101</v>
      </c>
      <c r="D124">
        <f>D121^2*(D122^2+D123^2)-D$13</f>
        <v>0</v>
      </c>
    </row>
    <row r="125" spans="4:4">
      <c r="D125">
        <f>D121^2*((D122+D$12)^2+D123^2)-D$14</f>
        <v>0</v>
      </c>
    </row>
    <row r="126" spans="4:4">
      <c r="D126">
        <f>D121^2*(D122^2+(D123+D$12)^2)-D$15</f>
        <v>0</v>
      </c>
    </row>
    <row r="127" spans="3:6">
      <c r="C127" t="s">
        <v>102</v>
      </c>
      <c r="D127">
        <f>2*D121*(D122^2+D123^2)</f>
        <v>80000.0000000006</v>
      </c>
      <c r="E127">
        <f>2*D122*D121^2</f>
        <v>17.101007166283</v>
      </c>
      <c r="F127">
        <f>2*D123*D121^2</f>
        <v>-46.9846310392952</v>
      </c>
    </row>
    <row r="128" spans="4:6">
      <c r="D128">
        <f>2*D121*((D122+D$12)^2+D123^2)</f>
        <v>166042.41719908</v>
      </c>
      <c r="E128">
        <f>2*(D122+D$12)*D121^2</f>
        <v>54.6010071662824</v>
      </c>
      <c r="F128">
        <f>2*D123*D121^2</f>
        <v>-46.9846310392952</v>
      </c>
    </row>
    <row r="129" spans="4:6">
      <c r="D129">
        <f>2*D121*(D122^2+(D123+D$12)^2)</f>
        <v>12236.885505691</v>
      </c>
      <c r="E129">
        <f>2*D122*D121^2</f>
        <v>17.101007166283</v>
      </c>
      <c r="F129">
        <f>2*(D123+D$12)*D121^2</f>
        <v>-9.48463103929575</v>
      </c>
    </row>
    <row r="130" spans="3:4">
      <c r="C130" t="s">
        <v>103</v>
      </c>
      <c r="D130">
        <f t="array" ref="D130">SUMPRODUCT(D121:D123,TRANSPOSE(D127:F127))</f>
        <v>40000</v>
      </c>
    </row>
    <row r="131" spans="4:4">
      <c r="D131">
        <f t="array" ref="D131">SUMPRODUCT(D121:D123,TRANSPOSE(D128:F128))</f>
        <v>66640.9064496545</v>
      </c>
    </row>
    <row r="132" spans="4:4">
      <c r="D132">
        <f t="array" ref="D132">SUMPRODUCT(D121:D123,TRANSPOSE(D129:F129))</f>
        <v>8963.83206463416</v>
      </c>
    </row>
    <row r="133" spans="3:4">
      <c r="C133" t="s">
        <v>104</v>
      </c>
      <c r="D133">
        <f t="shared" ref="D133:D135" si="8">D130-D124</f>
        <v>40000</v>
      </c>
    </row>
    <row r="134" spans="4:4">
      <c r="D134">
        <f t="shared" si="8"/>
        <v>66640.9064496545</v>
      </c>
    </row>
    <row r="135" spans="4:4">
      <c r="D135">
        <f t="shared" si="8"/>
        <v>8963.83206463416</v>
      </c>
    </row>
    <row r="136" spans="3:4">
      <c r="C136" t="s">
        <v>105</v>
      </c>
      <c r="D136">
        <f t="array" ref="D136:D138">lapack_dgesv(D127:F129,D133:D135)</f>
        <v>0.249999999999998</v>
      </c>
    </row>
    <row r="137" spans="4:4">
      <c r="D137">
        <v>136.808057330266</v>
      </c>
    </row>
    <row r="138" spans="4:4">
      <c r="D138">
        <v>-375.877048314367</v>
      </c>
    </row>
    <row r="139" spans="3:4">
      <c r="C139" t="s">
        <v>101</v>
      </c>
      <c r="D139">
        <f>D136^2*(D137^2+D138^2)-D$13</f>
        <v>0</v>
      </c>
    </row>
    <row r="140" spans="4:4">
      <c r="D140">
        <f>D136^2*((D137+D$12)^2+D138^2)-D$14</f>
        <v>0</v>
      </c>
    </row>
    <row r="141" spans="4:4">
      <c r="D141">
        <f>D136^2*(D137^2+(D138+D$12)^2)-D$15</f>
        <v>0</v>
      </c>
    </row>
    <row r="142" spans="3:6">
      <c r="C142" t="s">
        <v>102</v>
      </c>
      <c r="D142">
        <f>2*D136*(D137^2+D138^2)</f>
        <v>80000.0000000006</v>
      </c>
      <c r="E142">
        <f>2*D137*D136^2</f>
        <v>17.101007166283</v>
      </c>
      <c r="F142">
        <f>2*D138*D136^2</f>
        <v>-46.9846310392952</v>
      </c>
    </row>
    <row r="143" spans="4:6">
      <c r="D143">
        <f>2*D136*((D137+D$12)^2+D138^2)</f>
        <v>166042.41719908</v>
      </c>
      <c r="E143">
        <f>2*(D137+D$12)*D136^2</f>
        <v>54.6010071662824</v>
      </c>
      <c r="F143">
        <f>2*D138*D136^2</f>
        <v>-46.9846310392952</v>
      </c>
    </row>
    <row r="144" spans="4:6">
      <c r="D144">
        <f>2*D136*(D137^2+(D138+D$12)^2)</f>
        <v>12236.885505691</v>
      </c>
      <c r="E144">
        <f>2*D137*D136^2</f>
        <v>17.101007166283</v>
      </c>
      <c r="F144">
        <f>2*(D138+D$12)*D136^2</f>
        <v>-9.48463103929576</v>
      </c>
    </row>
    <row r="145" spans="3:4">
      <c r="C145" t="s">
        <v>103</v>
      </c>
      <c r="D145">
        <f t="array" ref="D145">SUMPRODUCT(D136:D138,TRANSPOSE(D142:F142))</f>
        <v>40000</v>
      </c>
    </row>
    <row r="146" spans="4:4">
      <c r="D146">
        <f t="array" ref="D146">SUMPRODUCT(D136:D138,TRANSPOSE(D143:F143))</f>
        <v>66640.9064496545</v>
      </c>
    </row>
    <row r="147" spans="4:4">
      <c r="D147">
        <f t="array" ref="D147">SUMPRODUCT(D136:D138,TRANSPOSE(D144:F144))</f>
        <v>8963.83206463416</v>
      </c>
    </row>
    <row r="148" spans="3:4">
      <c r="C148" t="s">
        <v>104</v>
      </c>
      <c r="D148">
        <f t="shared" ref="D148:D150" si="9">D145-D139</f>
        <v>40000</v>
      </c>
    </row>
    <row r="149" spans="4:4">
      <c r="D149">
        <f t="shared" si="9"/>
        <v>66640.9064496545</v>
      </c>
    </row>
    <row r="150" spans="4:4">
      <c r="D150">
        <f t="shared" si="9"/>
        <v>8963.83206463416</v>
      </c>
    </row>
    <row r="151" spans="3:4">
      <c r="C151" t="s">
        <v>105</v>
      </c>
      <c r="D151">
        <f t="array" ref="D151:D153">lapack_dgesv(D142:F144,D148:D150)</f>
        <v>0.249999999999998</v>
      </c>
    </row>
    <row r="152" spans="4:4">
      <c r="D152">
        <v>136.808057330266</v>
      </c>
    </row>
    <row r="153" spans="4:4">
      <c r="D153">
        <v>-375.877048314367</v>
      </c>
    </row>
    <row r="154" spans="3:4">
      <c r="C154" t="s">
        <v>101</v>
      </c>
      <c r="D154">
        <f>D151^2*(D152^2+D153^2)-D$13</f>
        <v>0</v>
      </c>
    </row>
    <row r="155" spans="4:4">
      <c r="D155">
        <f>D151^2*((D152+D$12)^2+D153^2)-D$14</f>
        <v>0</v>
      </c>
    </row>
    <row r="156" spans="4:4">
      <c r="D156">
        <f>D151^2*(D152^2+(D153+D$12)^2)-D$15</f>
        <v>0</v>
      </c>
    </row>
    <row r="157" spans="3:6">
      <c r="C157" t="s">
        <v>102</v>
      </c>
      <c r="D157">
        <f>2*D151*(D152^2+D153^2)</f>
        <v>80000.0000000006</v>
      </c>
      <c r="E157">
        <f>2*D152*D151^2</f>
        <v>17.1010071662829</v>
      </c>
      <c r="F157">
        <f>2*D153*D151^2</f>
        <v>-46.9846310392952</v>
      </c>
    </row>
    <row r="158" spans="4:6">
      <c r="D158">
        <f>2*D151*((D152+D$12)^2+D153^2)</f>
        <v>166042.41719908</v>
      </c>
      <c r="E158">
        <f>2*(D152+D$12)*D151^2</f>
        <v>54.6010071662823</v>
      </c>
      <c r="F158">
        <f>2*D153*D151^2</f>
        <v>-46.9846310392952</v>
      </c>
    </row>
    <row r="159" spans="4:6">
      <c r="D159">
        <f>2*D151*(D152^2+(D153+D$12)^2)</f>
        <v>12236.885505691</v>
      </c>
      <c r="E159">
        <f>2*D152*D151^2</f>
        <v>17.1010071662829</v>
      </c>
      <c r="F159">
        <f>2*(D153+D$12)*D151^2</f>
        <v>-9.48463103929577</v>
      </c>
    </row>
    <row r="160" spans="3:4">
      <c r="C160" t="s">
        <v>103</v>
      </c>
      <c r="D160">
        <f t="array" ref="D160">SUMPRODUCT(D151:D153,TRANSPOSE(D157:F157))</f>
        <v>40000</v>
      </c>
    </row>
    <row r="161" spans="4:4">
      <c r="D161">
        <f t="array" ref="D161">SUMPRODUCT(D151:D153,TRANSPOSE(D158:F158))</f>
        <v>66640.9064496545</v>
      </c>
    </row>
    <row r="162" spans="4:4">
      <c r="D162">
        <f t="array" ref="D162">SUMPRODUCT(D151:D153,TRANSPOSE(D159:F159))</f>
        <v>8963.83206463416</v>
      </c>
    </row>
    <row r="163" spans="3:4">
      <c r="C163" t="s">
        <v>104</v>
      </c>
      <c r="D163">
        <f t="shared" ref="D163:D165" si="10">D160-D154</f>
        <v>40000</v>
      </c>
    </row>
    <row r="164" spans="4:4">
      <c r="D164">
        <f t="shared" si="10"/>
        <v>66640.9064496545</v>
      </c>
    </row>
    <row r="165" spans="4:4">
      <c r="D165">
        <f t="shared" si="10"/>
        <v>8963.83206463416</v>
      </c>
    </row>
    <row r="166" spans="3:4">
      <c r="C166" t="s">
        <v>105</v>
      </c>
      <c r="D166">
        <f t="array" ref="D166:D168">lapack_dgesv(D157:F159,D163:D165)</f>
        <v>0.249999999999998</v>
      </c>
    </row>
    <row r="167" spans="4:4">
      <c r="D167">
        <v>136.808057330266</v>
      </c>
    </row>
    <row r="168" spans="4:4">
      <c r="D168">
        <v>-375.877048314367</v>
      </c>
    </row>
    <row r="169" spans="3:4">
      <c r="C169" t="s">
        <v>101</v>
      </c>
      <c r="D169">
        <f>D166^2*(D167^2+D168^2)-D$13</f>
        <v>0</v>
      </c>
    </row>
    <row r="170" spans="4:4">
      <c r="D170">
        <f>D166^2*((D167+D$12)^2+D168^2)-D$14</f>
        <v>0</v>
      </c>
    </row>
    <row r="171" spans="4:4">
      <c r="D171">
        <f>D166^2*(D167^2+(D168+D$12)^2)-D$15</f>
        <v>0</v>
      </c>
    </row>
    <row r="172" spans="3:6">
      <c r="C172" t="s">
        <v>102</v>
      </c>
      <c r="D172">
        <f>2*D166*(D167^2+D168^2)</f>
        <v>80000.0000000006</v>
      </c>
      <c r="E172">
        <f>2*D167*D166^2</f>
        <v>17.1010071662829</v>
      </c>
      <c r="F172">
        <f>2*D168*D166^2</f>
        <v>-46.9846310392952</v>
      </c>
    </row>
    <row r="173" spans="4:6">
      <c r="D173">
        <f>2*D166*((D167+D$12)^2+D168^2)</f>
        <v>166042.41719908</v>
      </c>
      <c r="E173">
        <f>2*(D167+D$12)*D166^2</f>
        <v>54.6010071662824</v>
      </c>
      <c r="F173">
        <f>2*D168*D166^2</f>
        <v>-46.9846310392952</v>
      </c>
    </row>
    <row r="174" spans="4:6">
      <c r="D174">
        <f>2*D166*(D167^2+(D168+D$12)^2)</f>
        <v>12236.8855056909</v>
      </c>
      <c r="E174">
        <f>2*D167*D166^2</f>
        <v>17.1010071662829</v>
      </c>
      <c r="F174">
        <f>2*(D168+D$12)*D166^2</f>
        <v>-9.48463103929576</v>
      </c>
    </row>
    <row r="175" spans="3:4">
      <c r="C175" t="s">
        <v>103</v>
      </c>
      <c r="D175">
        <f t="array" ref="D175">SUMPRODUCT(D166:D168,TRANSPOSE(D172:F172))</f>
        <v>40000</v>
      </c>
    </row>
    <row r="176" spans="4:4">
      <c r="D176">
        <f t="array" ref="D176">SUMPRODUCT(D166:D168,TRANSPOSE(D173:F173))</f>
        <v>66640.9064496545</v>
      </c>
    </row>
    <row r="177" spans="4:4">
      <c r="D177">
        <f t="array" ref="D177">SUMPRODUCT(D166:D168,TRANSPOSE(D174:F174))</f>
        <v>8963.83206463416</v>
      </c>
    </row>
    <row r="178" spans="3:4">
      <c r="C178" t="s">
        <v>104</v>
      </c>
      <c r="D178">
        <f t="shared" ref="D178:D180" si="11">D175-D169</f>
        <v>40000</v>
      </c>
    </row>
    <row r="179" spans="4:4">
      <c r="D179">
        <f t="shared" si="11"/>
        <v>66640.9064496545</v>
      </c>
    </row>
    <row r="180" spans="4:4">
      <c r="D180">
        <f t="shared" si="11"/>
        <v>8963.83206463416</v>
      </c>
    </row>
    <row r="181" spans="3:4">
      <c r="C181" t="s">
        <v>105</v>
      </c>
      <c r="D181">
        <f t="array" ref="D181:D183">lapack_dgesv(D172:F174,D178:D180)</f>
        <v>0.249999999999998</v>
      </c>
    </row>
    <row r="182" spans="4:4">
      <c r="D182">
        <v>136.808057330266</v>
      </c>
    </row>
    <row r="183" spans="4:4">
      <c r="D183">
        <v>-375.877048314367</v>
      </c>
    </row>
    <row r="184" spans="3:4">
      <c r="C184" t="s">
        <v>101</v>
      </c>
      <c r="D184">
        <f>D181^2*(D182^2+D183^2)-D$13</f>
        <v>0</v>
      </c>
    </row>
    <row r="185" spans="4:4">
      <c r="D185">
        <f>D181^2*((D182+D$12)^2+D183^2)-D$14</f>
        <v>0</v>
      </c>
    </row>
    <row r="186" spans="4:4">
      <c r="D186">
        <f>D181^2*(D182^2+(D183+D$12)^2)-D$15</f>
        <v>0</v>
      </c>
    </row>
    <row r="187" spans="3:6">
      <c r="C187" t="s">
        <v>102</v>
      </c>
      <c r="D187">
        <f>2*D181*(D182^2+D183^2)</f>
        <v>80000.0000000006</v>
      </c>
      <c r="E187">
        <f>2*D182*D181^2</f>
        <v>17.101007166283</v>
      </c>
      <c r="F187">
        <f>2*D183*D181^2</f>
        <v>-46.9846310392952</v>
      </c>
    </row>
    <row r="188" spans="4:6">
      <c r="D188">
        <f>2*D181*((D182+D$12)^2+D183^2)</f>
        <v>166042.41719908</v>
      </c>
      <c r="E188">
        <f>2*(D182+D$12)*D181^2</f>
        <v>54.6010071662824</v>
      </c>
      <c r="F188">
        <f>2*D183*D181^2</f>
        <v>-46.9846310392952</v>
      </c>
    </row>
    <row r="189" spans="4:6">
      <c r="D189">
        <f>2*D181*(D182^2+(D183+D$12)^2)</f>
        <v>12236.885505691</v>
      </c>
      <c r="E189">
        <f>2*D182*D181^2</f>
        <v>17.101007166283</v>
      </c>
      <c r="F189">
        <f>2*(D183+D$12)*D181^2</f>
        <v>-9.48463103929576</v>
      </c>
    </row>
    <row r="190" spans="3:4">
      <c r="C190" t="s">
        <v>103</v>
      </c>
      <c r="D190">
        <f t="array" ref="D190">SUMPRODUCT(D181:D183,TRANSPOSE(D187:F187))</f>
        <v>40000</v>
      </c>
    </row>
    <row r="191" spans="4:4">
      <c r="D191">
        <f t="array" ref="D191">SUMPRODUCT(D181:D183,TRANSPOSE(D188:F188))</f>
        <v>66640.9064496545</v>
      </c>
    </row>
    <row r="192" spans="4:4">
      <c r="D192">
        <f t="array" ref="D192">SUMPRODUCT(D181:D183,TRANSPOSE(D189:F189))</f>
        <v>8963.83206463416</v>
      </c>
    </row>
    <row r="193" spans="3:4">
      <c r="C193" t="s">
        <v>104</v>
      </c>
      <c r="D193">
        <f t="shared" ref="D193:D195" si="12">D190-D184</f>
        <v>40000</v>
      </c>
    </row>
    <row r="194" spans="4:4">
      <c r="D194">
        <f t="shared" si="12"/>
        <v>66640.9064496545</v>
      </c>
    </row>
    <row r="195" spans="4:4">
      <c r="D195">
        <f t="shared" si="12"/>
        <v>8963.83206463416</v>
      </c>
    </row>
    <row r="196" spans="3:4">
      <c r="C196" t="s">
        <v>105</v>
      </c>
      <c r="D196">
        <f t="array" ref="D196:D198">lapack_dgesv(D187:F189,D193:D195)</f>
        <v>0.249999999999998</v>
      </c>
    </row>
    <row r="197" spans="4:4">
      <c r="D197">
        <v>136.808057330266</v>
      </c>
    </row>
    <row r="198" spans="4:4">
      <c r="D198">
        <v>-375.877048314367</v>
      </c>
    </row>
    <row r="199" spans="3:4">
      <c r="C199" t="s">
        <v>101</v>
      </c>
      <c r="D199">
        <f>D196^2*(D197^2+D198^2)-D$13</f>
        <v>0</v>
      </c>
    </row>
    <row r="200" spans="4:4">
      <c r="D200">
        <f>D196^2*((D197+D$12)^2+D198^2)-D$14</f>
        <v>0</v>
      </c>
    </row>
    <row r="201" spans="4:4">
      <c r="D201">
        <f>D196^2*(D197^2+(D198+D$12)^2)-D$15</f>
        <v>0</v>
      </c>
    </row>
    <row r="202" spans="3:6">
      <c r="C202" t="s">
        <v>102</v>
      </c>
      <c r="D202">
        <f>2*D196*(D197^2+D198^2)</f>
        <v>80000.0000000007</v>
      </c>
      <c r="E202">
        <f>2*D197*D196^2</f>
        <v>17.1010071662829</v>
      </c>
      <c r="F202">
        <f>2*D198*D196^2</f>
        <v>-46.9846310392952</v>
      </c>
    </row>
    <row r="203" spans="4:6">
      <c r="D203">
        <f>2*D196*((D197+D$12)^2+D198^2)</f>
        <v>166042.41719908</v>
      </c>
      <c r="E203">
        <f>2*(D197+D$12)*D196^2</f>
        <v>54.6010071662824</v>
      </c>
      <c r="F203">
        <f>2*D198*D196^2</f>
        <v>-46.9846310392952</v>
      </c>
    </row>
    <row r="204" spans="4:6">
      <c r="D204">
        <f>2*D196*(D197^2+(D198+D$12)^2)</f>
        <v>12236.885505691</v>
      </c>
      <c r="E204">
        <f>2*D197*D196^2</f>
        <v>17.1010071662829</v>
      </c>
      <c r="F204">
        <f>2*(D198+D$12)*D196^2</f>
        <v>-9.48463103929578</v>
      </c>
    </row>
    <row r="205" spans="3:4">
      <c r="C205" t="s">
        <v>103</v>
      </c>
      <c r="D205">
        <f t="array" ref="D205">SUMPRODUCT(D196:D198,TRANSPOSE(D202:F202))</f>
        <v>40000</v>
      </c>
    </row>
    <row r="206" spans="4:4">
      <c r="D206">
        <f t="array" ref="D206">SUMPRODUCT(D196:D198,TRANSPOSE(D203:F203))</f>
        <v>66640.9064496545</v>
      </c>
    </row>
    <row r="207" spans="4:4">
      <c r="D207">
        <f t="array" ref="D207">SUMPRODUCT(D196:D198,TRANSPOSE(D204:F204))</f>
        <v>8963.83206463416</v>
      </c>
    </row>
    <row r="208" spans="3:4">
      <c r="C208" t="s">
        <v>104</v>
      </c>
      <c r="D208">
        <f t="shared" ref="D208:D210" si="13">D205-D199</f>
        <v>40000</v>
      </c>
    </row>
    <row r="209" spans="4:4">
      <c r="D209">
        <f t="shared" si="13"/>
        <v>66640.9064496545</v>
      </c>
    </row>
    <row r="210" spans="4:4">
      <c r="D210">
        <f t="shared" si="13"/>
        <v>8963.83206463416</v>
      </c>
    </row>
    <row r="211" spans="3:4">
      <c r="C211" t="s">
        <v>105</v>
      </c>
      <c r="D211">
        <f t="array" ref="D211:D213">lapack_dgesv(D202:F204,D208:D210)</f>
        <v>0.249999999999998</v>
      </c>
    </row>
    <row r="212" spans="4:4">
      <c r="D212">
        <v>136.808057330266</v>
      </c>
    </row>
    <row r="213" spans="4:4">
      <c r="D213">
        <v>-375.877048314367</v>
      </c>
    </row>
    <row r="214" spans="3:4">
      <c r="C214" t="s">
        <v>101</v>
      </c>
      <c r="D214">
        <f>D211^2*(D212^2+D213^2)-D$13</f>
        <v>0</v>
      </c>
    </row>
    <row r="215" spans="4:4">
      <c r="D215">
        <f>D211^2*((D212+D$12)^2+D213^2)-D$14</f>
        <v>0</v>
      </c>
    </row>
    <row r="216" spans="4:4">
      <c r="D216">
        <f>D211^2*(D212^2+(D213+D$12)^2)-D$15</f>
        <v>0</v>
      </c>
    </row>
    <row r="217" spans="3:6">
      <c r="C217" t="s">
        <v>102</v>
      </c>
      <c r="D217">
        <f>2*D211*(D212^2+D213^2)</f>
        <v>80000.0000000006</v>
      </c>
      <c r="E217">
        <f>2*D212*D211^2</f>
        <v>17.1010071662829</v>
      </c>
      <c r="F217">
        <f>2*D213*D211^2</f>
        <v>-46.9846310392952</v>
      </c>
    </row>
    <row r="218" spans="4:6">
      <c r="D218">
        <f>2*D211*((D212+D$12)^2+D213^2)</f>
        <v>166042.41719908</v>
      </c>
      <c r="E218">
        <f>2*(D212+D$12)*D211^2</f>
        <v>54.6010071662824</v>
      </c>
      <c r="F218">
        <f>2*D213*D211^2</f>
        <v>-46.9846310392952</v>
      </c>
    </row>
    <row r="219" spans="4:6">
      <c r="D219">
        <f>2*D211*(D212^2+(D213+D$12)^2)</f>
        <v>12236.885505691</v>
      </c>
      <c r="E219">
        <f>2*D212*D211^2</f>
        <v>17.1010071662829</v>
      </c>
      <c r="F219">
        <f>2*(D213+D$12)*D211^2</f>
        <v>-9.48463103929578</v>
      </c>
    </row>
    <row r="220" spans="3:4">
      <c r="C220" t="s">
        <v>103</v>
      </c>
      <c r="D220">
        <f t="array" ref="D220">SUMPRODUCT(D211:D213,TRANSPOSE(D217:F217))</f>
        <v>40000</v>
      </c>
    </row>
    <row r="221" spans="4:4">
      <c r="D221">
        <f t="array" ref="D221">SUMPRODUCT(D211:D213,TRANSPOSE(D218:F218))</f>
        <v>66640.9064496545</v>
      </c>
    </row>
    <row r="222" spans="4:4">
      <c r="D222">
        <f t="array" ref="D222">SUMPRODUCT(D211:D213,TRANSPOSE(D219:F219))</f>
        <v>8963.83206463416</v>
      </c>
    </row>
    <row r="223" spans="3:4">
      <c r="C223" t="s">
        <v>104</v>
      </c>
      <c r="D223">
        <f t="shared" ref="D223:D225" si="14">D220-D214</f>
        <v>40000</v>
      </c>
    </row>
    <row r="224" spans="4:4">
      <c r="D224">
        <f t="shared" si="14"/>
        <v>66640.9064496545</v>
      </c>
    </row>
    <row r="225" spans="4:4">
      <c r="D225">
        <f t="shared" si="14"/>
        <v>8963.83206463416</v>
      </c>
    </row>
    <row r="226" spans="3:4">
      <c r="C226" t="s">
        <v>105</v>
      </c>
      <c r="D226">
        <f t="array" ref="D226:D228">lapack_dgesv(D217:F219,D223:D225)</f>
        <v>0.249999999999998</v>
      </c>
    </row>
    <row r="227" spans="4:4">
      <c r="D227">
        <v>136.808057330266</v>
      </c>
    </row>
    <row r="228" spans="4:4">
      <c r="D228">
        <v>-375.877048314367</v>
      </c>
    </row>
    <row r="229" spans="3:4">
      <c r="C229" t="s">
        <v>101</v>
      </c>
      <c r="D229">
        <f>D226^2*(D227^2+D228^2)-D$13</f>
        <v>0</v>
      </c>
    </row>
    <row r="230" spans="4:4">
      <c r="D230">
        <f>D226^2*((D227+D$12)^2+D228^2)-D$14</f>
        <v>0</v>
      </c>
    </row>
    <row r="231" spans="4:4">
      <c r="D231">
        <f>D226^2*(D227^2+(D228+D$12)^2)-D$15</f>
        <v>0</v>
      </c>
    </row>
    <row r="232" spans="3:6">
      <c r="C232" t="s">
        <v>102</v>
      </c>
      <c r="D232">
        <f>2*D226*(D227^2+D228^2)</f>
        <v>80000.0000000006</v>
      </c>
      <c r="E232">
        <f>2*D227*D226^2</f>
        <v>17.101007166283</v>
      </c>
      <c r="F232">
        <f>2*D228*D226^2</f>
        <v>-46.9846310392952</v>
      </c>
    </row>
    <row r="233" spans="4:6">
      <c r="D233">
        <f>2*D226*((D227+D$12)^2+D228^2)</f>
        <v>166042.41719908</v>
      </c>
      <c r="E233">
        <f>2*(D227+D$12)*D226^2</f>
        <v>54.6010071662824</v>
      </c>
      <c r="F233">
        <f>2*D228*D226^2</f>
        <v>-46.9846310392952</v>
      </c>
    </row>
    <row r="234" spans="4:6">
      <c r="D234">
        <f>2*D226*(D227^2+(D228+D$12)^2)</f>
        <v>12236.8855056909</v>
      </c>
      <c r="E234">
        <f>2*D227*D226^2</f>
        <v>17.101007166283</v>
      </c>
      <c r="F234">
        <f>2*(D228+D$12)*D226^2</f>
        <v>-9.48463103929575</v>
      </c>
    </row>
    <row r="235" spans="3:4">
      <c r="C235" t="s">
        <v>103</v>
      </c>
      <c r="D235">
        <f t="array" ref="D235">SUMPRODUCT(D226:D228,TRANSPOSE(D232:F232))</f>
        <v>40000</v>
      </c>
    </row>
    <row r="236" spans="4:4">
      <c r="D236">
        <f t="array" ref="D236">SUMPRODUCT(D226:D228,TRANSPOSE(D233:F233))</f>
        <v>66640.9064496545</v>
      </c>
    </row>
    <row r="237" spans="4:4">
      <c r="D237">
        <f t="array" ref="D237">SUMPRODUCT(D226:D228,TRANSPOSE(D234:F234))</f>
        <v>8963.83206463416</v>
      </c>
    </row>
    <row r="238" spans="3:4">
      <c r="C238" t="s">
        <v>104</v>
      </c>
      <c r="D238">
        <f t="shared" ref="D238:D240" si="15">D235-D229</f>
        <v>40000</v>
      </c>
    </row>
    <row r="239" spans="4:4">
      <c r="D239">
        <f t="shared" si="15"/>
        <v>66640.9064496545</v>
      </c>
    </row>
    <row r="240" spans="4:4">
      <c r="D240">
        <f t="shared" si="15"/>
        <v>8963.83206463416</v>
      </c>
    </row>
    <row r="241" spans="3:4">
      <c r="C241" t="s">
        <v>105</v>
      </c>
      <c r="D241">
        <f t="array" ref="D241:D243">lapack_dgesv(D232:F234,D238:D240)</f>
        <v>0.249999999999998</v>
      </c>
    </row>
    <row r="242" spans="4:4">
      <c r="D242">
        <v>136.808057330266</v>
      </c>
    </row>
    <row r="243" spans="4:4">
      <c r="D243">
        <v>-375.877048314367</v>
      </c>
    </row>
    <row r="244" spans="3:4">
      <c r="C244" t="s">
        <v>101</v>
      </c>
      <c r="D244">
        <f>D241^2*(D242^2+D243^2)-D$13</f>
        <v>0</v>
      </c>
    </row>
    <row r="245" spans="4:4">
      <c r="D245">
        <f>D241^2*((D242+D$12)^2+D243^2)-D$14</f>
        <v>0</v>
      </c>
    </row>
    <row r="246" spans="4:4">
      <c r="D246">
        <f>D241^2*(D242^2+(D243+D$12)^2)-D$15</f>
        <v>0</v>
      </c>
    </row>
    <row r="247" spans="3:6">
      <c r="C247" t="s">
        <v>102</v>
      </c>
      <c r="D247">
        <f>2*D241*(D242^2+D243^2)</f>
        <v>80000.0000000006</v>
      </c>
      <c r="E247">
        <f>2*D242*D241^2</f>
        <v>17.101007166283</v>
      </c>
      <c r="F247">
        <f>2*D243*D241^2</f>
        <v>-46.9846310392952</v>
      </c>
    </row>
    <row r="248" spans="4:6">
      <c r="D248">
        <f>2*D241*((D242+D$12)^2+D243^2)</f>
        <v>166042.41719908</v>
      </c>
      <c r="E248">
        <f>2*(D242+D$12)*D241^2</f>
        <v>54.6010071662824</v>
      </c>
      <c r="F248">
        <f>2*D243*D241^2</f>
        <v>-46.9846310392952</v>
      </c>
    </row>
    <row r="249" spans="4:6">
      <c r="D249">
        <f>2*D241*(D242^2+(D243+D$12)^2)</f>
        <v>12236.8855056909</v>
      </c>
      <c r="E249">
        <f>2*D242*D241^2</f>
        <v>17.101007166283</v>
      </c>
      <c r="F249">
        <f>2*(D243+D$12)*D241^2</f>
        <v>-9.48463103929575</v>
      </c>
    </row>
    <row r="250" spans="3:4">
      <c r="C250" t="s">
        <v>103</v>
      </c>
      <c r="D250">
        <f t="array" ref="D250">SUMPRODUCT(D241:D243,TRANSPOSE(D247:F247))</f>
        <v>40000</v>
      </c>
    </row>
    <row r="251" spans="4:4">
      <c r="D251">
        <f t="array" ref="D251">SUMPRODUCT(D241:D243,TRANSPOSE(D248:F248))</f>
        <v>66640.9064496545</v>
      </c>
    </row>
    <row r="252" spans="4:4">
      <c r="D252">
        <f t="array" ref="D252">SUMPRODUCT(D241:D243,TRANSPOSE(D249:F249))</f>
        <v>8963.83206463415</v>
      </c>
    </row>
    <row r="253" spans="3:4">
      <c r="C253" t="s">
        <v>104</v>
      </c>
      <c r="D253">
        <f t="shared" ref="D253:D255" si="16">D250-D244</f>
        <v>40000</v>
      </c>
    </row>
    <row r="254" spans="4:4">
      <c r="D254">
        <f t="shared" si="16"/>
        <v>66640.9064496545</v>
      </c>
    </row>
    <row r="255" spans="4:4">
      <c r="D255">
        <f t="shared" si="16"/>
        <v>8963.83206463415</v>
      </c>
    </row>
    <row r="256" spans="3:4">
      <c r="C256" t="s">
        <v>105</v>
      </c>
      <c r="D256">
        <f t="array" ref="D256:D258">lapack_dgesv(D247:F249,D253:D255)</f>
        <v>0.249999999999998</v>
      </c>
    </row>
    <row r="257" spans="4:4">
      <c r="D257">
        <v>136.808057330266</v>
      </c>
    </row>
    <row r="258" spans="4:4">
      <c r="D258">
        <v>-375.877048314367</v>
      </c>
    </row>
    <row r="259" spans="3:4">
      <c r="C259" t="s">
        <v>101</v>
      </c>
      <c r="D259">
        <f>D256^2*(D257^2+D258^2)-D$13</f>
        <v>0</v>
      </c>
    </row>
    <row r="260" spans="4:4">
      <c r="D260">
        <f>D256^2*((D257+D$12)^2+D258^2)-D$14</f>
        <v>0</v>
      </c>
    </row>
    <row r="261" spans="4:4">
      <c r="D261">
        <f>D256^2*(D257^2+(D258+D$12)^2)-D$15</f>
        <v>0</v>
      </c>
    </row>
    <row r="262" spans="3:6">
      <c r="C262" t="s">
        <v>102</v>
      </c>
      <c r="D262">
        <f>2*D256*(D257^2+D258^2)</f>
        <v>80000.0000000005</v>
      </c>
      <c r="E262">
        <f>2*D257*D256^2</f>
        <v>17.101007166283</v>
      </c>
      <c r="F262">
        <f>2*D258*D256^2</f>
        <v>-46.9846310392952</v>
      </c>
    </row>
    <row r="263" spans="4:6">
      <c r="D263">
        <f>2*D256*((D257+D$12)^2+D258^2)</f>
        <v>166042.41719908</v>
      </c>
      <c r="E263">
        <f>2*(D257+D$12)*D256^2</f>
        <v>54.6010071662825</v>
      </c>
      <c r="F263">
        <f>2*D258*D256^2</f>
        <v>-46.9846310392952</v>
      </c>
    </row>
    <row r="264" spans="4:6">
      <c r="D264">
        <f>2*D256*(D257^2+(D258+D$12)^2)</f>
        <v>12236.8855056909</v>
      </c>
      <c r="E264">
        <f>2*D257*D256^2</f>
        <v>17.101007166283</v>
      </c>
      <c r="F264">
        <f>2*(D258+D$12)*D256^2</f>
        <v>-9.48463103929572</v>
      </c>
    </row>
    <row r="265" spans="3:4">
      <c r="C265" t="s">
        <v>103</v>
      </c>
      <c r="D265">
        <f t="array" ref="D265">SUMPRODUCT(D256:D258,TRANSPOSE(D262:F262))</f>
        <v>40000</v>
      </c>
    </row>
    <row r="266" spans="4:4">
      <c r="D266">
        <f t="array" ref="D266">SUMPRODUCT(D256:D258,TRANSPOSE(D263:F263))</f>
        <v>66640.9064496545</v>
      </c>
    </row>
    <row r="267" spans="4:4">
      <c r="D267">
        <f t="array" ref="D267">SUMPRODUCT(D256:D258,TRANSPOSE(D264:F264))</f>
        <v>8963.83206463414</v>
      </c>
    </row>
    <row r="268" spans="3:4">
      <c r="C268" t="s">
        <v>104</v>
      </c>
      <c r="D268">
        <f t="shared" ref="D268:D270" si="17">D265-D259</f>
        <v>40000</v>
      </c>
    </row>
    <row r="269" spans="4:4">
      <c r="D269">
        <f t="shared" si="17"/>
        <v>66640.9064496545</v>
      </c>
    </row>
    <row r="270" spans="4:4">
      <c r="D270">
        <f t="shared" si="17"/>
        <v>8963.83206463414</v>
      </c>
    </row>
    <row r="271" spans="3:4">
      <c r="C271" t="s">
        <v>105</v>
      </c>
      <c r="D271">
        <f t="array" ref="D271:D273">lapack_dgesv(D262:F264,D268:D270)</f>
        <v>0.249999999999998</v>
      </c>
    </row>
    <row r="272" spans="4:4">
      <c r="D272">
        <v>136.808057330266</v>
      </c>
    </row>
    <row r="273" spans="4:4">
      <c r="D273">
        <v>-375.877048314367</v>
      </c>
    </row>
    <row r="274" spans="3:4">
      <c r="C274" t="s">
        <v>101</v>
      </c>
      <c r="D274">
        <f>D271^2*(D272^2+D273^2)-D$13</f>
        <v>0</v>
      </c>
    </row>
    <row r="275" spans="4:4">
      <c r="D275">
        <f>D271^2*((D272+D$12)^2+D273^2)-D$14</f>
        <v>2.91038304567337e-11</v>
      </c>
    </row>
    <row r="276" spans="4:4">
      <c r="D276">
        <f>D271^2*(D272^2+(D273+D$12)^2)-D$15</f>
        <v>-1.81898940354586e-12</v>
      </c>
    </row>
    <row r="277" spans="3:6">
      <c r="C277" t="s">
        <v>102</v>
      </c>
      <c r="D277">
        <f>2*D271*(D272^2+D273^2)</f>
        <v>80000.0000000005</v>
      </c>
      <c r="E277">
        <f>2*D272*D271^2</f>
        <v>17.101007166283</v>
      </c>
      <c r="F277">
        <f>2*D273*D271^2</f>
        <v>-46.9846310392952</v>
      </c>
    </row>
    <row r="278" spans="4:6">
      <c r="D278">
        <f>2*D271*((D272+D$12)^2+D273^2)</f>
        <v>166042.41719908</v>
      </c>
      <c r="E278">
        <f>2*(D272+D$12)*D271^2</f>
        <v>54.6010071662825</v>
      </c>
      <c r="F278">
        <f>2*D273*D271^2</f>
        <v>-46.9846310392952</v>
      </c>
    </row>
    <row r="279" spans="4:6">
      <c r="D279">
        <f>2*D271*(D272^2+(D273+D$12)^2)</f>
        <v>12236.8855056909</v>
      </c>
      <c r="E279">
        <f>2*D272*D271^2</f>
        <v>17.101007166283</v>
      </c>
      <c r="F279">
        <f>2*(D273+D$12)*D271^2</f>
        <v>-9.48463103929573</v>
      </c>
    </row>
    <row r="280" spans="3:4">
      <c r="C280" t="s">
        <v>103</v>
      </c>
      <c r="D280">
        <f t="array" ref="D280">SUMPRODUCT(D271:D273,TRANSPOSE(D277:F277))</f>
        <v>40000</v>
      </c>
    </row>
    <row r="281" spans="4:4">
      <c r="D281">
        <f t="array" ref="D281">SUMPRODUCT(D271:D273,TRANSPOSE(D278:F278))</f>
        <v>66640.9064496545</v>
      </c>
    </row>
    <row r="282" spans="4:4">
      <c r="D282">
        <f t="array" ref="D282">SUMPRODUCT(D271:D273,TRANSPOSE(D279:F279))</f>
        <v>8963.83206463414</v>
      </c>
    </row>
    <row r="283" spans="3:4">
      <c r="C283" t="s">
        <v>104</v>
      </c>
      <c r="D283">
        <f t="shared" ref="D283:D285" si="18">D280-D274</f>
        <v>40000</v>
      </c>
    </row>
    <row r="284" spans="4:4">
      <c r="D284">
        <f t="shared" si="18"/>
        <v>66640.9064496545</v>
      </c>
    </row>
    <row r="285" spans="4:4">
      <c r="D285">
        <f t="shared" si="18"/>
        <v>8963.83206463414</v>
      </c>
    </row>
    <row r="286" spans="3:4">
      <c r="C286" t="s">
        <v>105</v>
      </c>
      <c r="D286">
        <f t="array" ref="D286:D288">lapack_dgesv(D277:F279,D283:D285)</f>
        <v>0.249999999999998</v>
      </c>
    </row>
    <row r="287" spans="4:4">
      <c r="D287">
        <v>136.808057330266</v>
      </c>
    </row>
    <row r="288" spans="4:4">
      <c r="D288">
        <v>-375.877048314367</v>
      </c>
    </row>
    <row r="289" spans="3:4">
      <c r="C289" t="s">
        <v>101</v>
      </c>
      <c r="D289">
        <f>D286^2*(D287^2+D288^2)-D$13</f>
        <v>0</v>
      </c>
    </row>
    <row r="290" spans="4:4">
      <c r="D290">
        <f>D286^2*((D287+D$12)^2+D288^2)-D$14</f>
        <v>0</v>
      </c>
    </row>
    <row r="291" spans="4:4">
      <c r="D291">
        <f>D286^2*(D287^2+(D288+D$12)^2)-D$15</f>
        <v>0</v>
      </c>
    </row>
    <row r="292" spans="3:6">
      <c r="C292" t="s">
        <v>102</v>
      </c>
      <c r="D292">
        <f>2*D286*(D287^2+D288^2)</f>
        <v>80000.0000000007</v>
      </c>
      <c r="E292">
        <f>2*D287*D286^2</f>
        <v>17.1010071662829</v>
      </c>
      <c r="F292">
        <f>2*D288*D286^2</f>
        <v>-46.9846310392952</v>
      </c>
    </row>
    <row r="293" spans="4:6">
      <c r="D293">
        <f>2*D286*((D287+D$12)^2+D288^2)</f>
        <v>166042.41719908</v>
      </c>
      <c r="E293">
        <f>2*(D287+D$12)*D286^2</f>
        <v>54.6010071662823</v>
      </c>
      <c r="F293">
        <f>2*D288*D286^2</f>
        <v>-46.9846310392952</v>
      </c>
    </row>
    <row r="294" spans="4:6">
      <c r="D294">
        <f>2*D286*(D287^2+(D288+D$12)^2)</f>
        <v>12236.885505691</v>
      </c>
      <c r="E294">
        <f>2*D287*D286^2</f>
        <v>17.1010071662829</v>
      </c>
      <c r="F294">
        <f>2*(D288+D$12)*D286^2</f>
        <v>-9.48463103929578</v>
      </c>
    </row>
    <row r="295" spans="3:4">
      <c r="C295" t="s">
        <v>103</v>
      </c>
      <c r="D295">
        <f t="array" ref="D295">SUMPRODUCT(D286:D288,TRANSPOSE(D292:F292))</f>
        <v>40000</v>
      </c>
    </row>
    <row r="296" spans="4:4">
      <c r="D296">
        <f t="array" ref="D296">SUMPRODUCT(D286:D288,TRANSPOSE(D293:F293))</f>
        <v>66640.9064496545</v>
      </c>
    </row>
    <row r="297" spans="4:4">
      <c r="D297">
        <f t="array" ref="D297">SUMPRODUCT(D286:D288,TRANSPOSE(D294:F294))</f>
        <v>8963.83206463416</v>
      </c>
    </row>
    <row r="298" spans="3:4">
      <c r="C298" t="s">
        <v>104</v>
      </c>
      <c r="D298">
        <f t="shared" ref="D298:D300" si="19">D295-D289</f>
        <v>40000</v>
      </c>
    </row>
    <row r="299" spans="4:4">
      <c r="D299">
        <f t="shared" si="19"/>
        <v>66640.9064496545</v>
      </c>
    </row>
    <row r="300" spans="4:4">
      <c r="D300">
        <f t="shared" si="19"/>
        <v>8963.83206463416</v>
      </c>
    </row>
    <row r="301" spans="3:4">
      <c r="C301" t="s">
        <v>105</v>
      </c>
      <c r="D301">
        <f t="array" ref="D301:D303">lapack_dgesv(D292:F294,D298:D300)</f>
        <v>0.249999999999998</v>
      </c>
    </row>
    <row r="302" spans="4:4">
      <c r="D302">
        <v>136.808057330266</v>
      </c>
    </row>
    <row r="303" spans="4:4">
      <c r="D303">
        <v>-375.877048314367</v>
      </c>
    </row>
    <row r="304" spans="3:4">
      <c r="C304" t="s">
        <v>101</v>
      </c>
      <c r="D304">
        <f>D301^2*(D302^2+D303^2)-D$13</f>
        <v>0</v>
      </c>
    </row>
    <row r="305" spans="4:4">
      <c r="D305">
        <f>D301^2*((D302+D$12)^2+D303^2)-D$14</f>
        <v>0</v>
      </c>
    </row>
    <row r="306" spans="4:4">
      <c r="D306">
        <f>D301^2*(D302^2+(D303+D$12)^2)-D$15</f>
        <v>0</v>
      </c>
    </row>
    <row r="307" spans="3:6">
      <c r="C307" t="s">
        <v>102</v>
      </c>
      <c r="D307">
        <f>2*D301*(D302^2+D303^2)</f>
        <v>80000.0000000006</v>
      </c>
      <c r="E307">
        <f>2*D302*D301^2</f>
        <v>17.1010071662829</v>
      </c>
      <c r="F307">
        <f>2*D303*D301^2</f>
        <v>-46.9846310392952</v>
      </c>
    </row>
    <row r="308" spans="4:6">
      <c r="D308">
        <f>2*D301*((D302+D$12)^2+D303^2)</f>
        <v>166042.41719908</v>
      </c>
      <c r="E308">
        <f>2*(D302+D$12)*D301^2</f>
        <v>54.6010071662823</v>
      </c>
      <c r="F308">
        <f>2*D303*D301^2</f>
        <v>-46.9846310392952</v>
      </c>
    </row>
    <row r="309" spans="4:6">
      <c r="D309">
        <f>2*D301*(D302^2+(D303+D$12)^2)</f>
        <v>12236.885505691</v>
      </c>
      <c r="E309">
        <f>2*D302*D301^2</f>
        <v>17.1010071662829</v>
      </c>
      <c r="F309">
        <f>2*(D303+D$12)*D301^2</f>
        <v>-9.48463103929577</v>
      </c>
    </row>
    <row r="310" spans="3:4">
      <c r="C310" t="s">
        <v>103</v>
      </c>
      <c r="D310">
        <f t="array" ref="D310">SUMPRODUCT(D301:D303,TRANSPOSE(D307:F307))</f>
        <v>40000</v>
      </c>
    </row>
    <row r="311" spans="4:4">
      <c r="D311">
        <f t="array" ref="D311">SUMPRODUCT(D301:D303,TRANSPOSE(D308:F308))</f>
        <v>66640.9064496544</v>
      </c>
    </row>
    <row r="312" spans="4:4">
      <c r="D312">
        <f t="array" ref="D312">SUMPRODUCT(D301:D303,TRANSPOSE(D309:F309))</f>
        <v>8963.83206463416</v>
      </c>
    </row>
    <row r="313" spans="3:4">
      <c r="C313" t="s">
        <v>104</v>
      </c>
      <c r="D313">
        <f t="shared" ref="D313:D315" si="20">D310-D304</f>
        <v>40000</v>
      </c>
    </row>
    <row r="314" spans="4:4">
      <c r="D314">
        <f t="shared" si="20"/>
        <v>66640.9064496544</v>
      </c>
    </row>
    <row r="315" spans="4:4">
      <c r="D315">
        <f t="shared" si="20"/>
        <v>8963.83206463416</v>
      </c>
    </row>
    <row r="316" spans="3:4">
      <c r="C316" t="s">
        <v>105</v>
      </c>
      <c r="D316">
        <f t="array" ref="D316:D318">lapack_dgesv(D307:F309,D313:D315)</f>
        <v>0.249999999999998</v>
      </c>
    </row>
    <row r="317" spans="4:4">
      <c r="D317">
        <v>136.808057330266</v>
      </c>
    </row>
    <row r="318" spans="4:4">
      <c r="D318">
        <v>-375.877048314368</v>
      </c>
    </row>
    <row r="319" spans="3:4">
      <c r="C319" t="s">
        <v>101</v>
      </c>
      <c r="D319">
        <f>D316^2*(D317^2+D318^2)-D$13</f>
        <v>0</v>
      </c>
    </row>
    <row r="320" spans="4:4">
      <c r="D320">
        <f>D316^2*((D317+D$12)^2+D318^2)-D$14</f>
        <v>0</v>
      </c>
    </row>
    <row r="321" spans="4:4">
      <c r="D321">
        <f>D316^2*(D317^2+(D318+D$12)^2)-D$15</f>
        <v>0</v>
      </c>
    </row>
    <row r="322" spans="3:6">
      <c r="C322" t="s">
        <v>102</v>
      </c>
      <c r="D322">
        <f>2*D316*(D317^2+D318^2)</f>
        <v>80000.0000000007</v>
      </c>
      <c r="E322">
        <f>2*D317*D316^2</f>
        <v>17.1010071662829</v>
      </c>
      <c r="F322">
        <f>2*D318*D316^2</f>
        <v>-46.9846310392952</v>
      </c>
    </row>
    <row r="323" spans="4:6">
      <c r="D323">
        <f>2*D316*((D317+D$12)^2+D318^2)</f>
        <v>166042.41719908</v>
      </c>
      <c r="E323">
        <f>2*(D317+D$12)*D316^2</f>
        <v>54.6010071662823</v>
      </c>
      <c r="F323">
        <f>2*D318*D316^2</f>
        <v>-46.9846310392952</v>
      </c>
    </row>
    <row r="324" spans="4:6">
      <c r="D324">
        <f>2*D316*(D317^2+(D318+D$12)^2)</f>
        <v>12236.885505691</v>
      </c>
      <c r="E324">
        <f>2*D317*D316^2</f>
        <v>17.1010071662829</v>
      </c>
      <c r="F324">
        <f>2*(D318+D$12)*D316^2</f>
        <v>-9.48463103929579</v>
      </c>
    </row>
    <row r="325" spans="3:4">
      <c r="C325" t="s">
        <v>103</v>
      </c>
      <c r="D325">
        <f t="array" ref="D325">SUMPRODUCT(D316:D318,TRANSPOSE(D322:F322))</f>
        <v>40000</v>
      </c>
    </row>
    <row r="326" spans="4:4">
      <c r="D326">
        <f t="array" ref="D326">SUMPRODUCT(D316:D318,TRANSPOSE(D323:F323))</f>
        <v>66640.9064496544</v>
      </c>
    </row>
    <row r="327" spans="4:4">
      <c r="D327">
        <f t="array" ref="D327">SUMPRODUCT(D316:D318,TRANSPOSE(D324:F324))</f>
        <v>8963.83206463417</v>
      </c>
    </row>
    <row r="328" spans="3:4">
      <c r="C328" t="s">
        <v>104</v>
      </c>
      <c r="D328">
        <f t="shared" ref="D328:D330" si="21">D325-D319</f>
        <v>40000</v>
      </c>
    </row>
    <row r="329" spans="4:4">
      <c r="D329">
        <f t="shared" si="21"/>
        <v>66640.9064496544</v>
      </c>
    </row>
    <row r="330" spans="4:4">
      <c r="D330">
        <f t="shared" si="21"/>
        <v>8963.83206463417</v>
      </c>
    </row>
    <row r="331" spans="3:4">
      <c r="C331" t="s">
        <v>105</v>
      </c>
      <c r="D331">
        <f t="array" ref="D331:D333">lapack_dgesv(D322:F324,D328:D330)</f>
        <v>0.249999999999998</v>
      </c>
    </row>
    <row r="332" spans="4:4">
      <c r="D332">
        <v>136.808057330266</v>
      </c>
    </row>
    <row r="333" spans="4:4">
      <c r="D333">
        <v>-375.877048314367</v>
      </c>
    </row>
    <row r="334" spans="3:4">
      <c r="C334" t="s">
        <v>101</v>
      </c>
      <c r="D334">
        <f>D331^2*(D332^2+D333^2)-D$13</f>
        <v>0</v>
      </c>
    </row>
    <row r="335" spans="4:4">
      <c r="D335">
        <f>D331^2*((D332+D$12)^2+D333^2)-D$14</f>
        <v>0</v>
      </c>
    </row>
    <row r="336" spans="4:4">
      <c r="D336">
        <f>D331^2*(D332^2+(D333+D$12)^2)-D$15</f>
        <v>0</v>
      </c>
    </row>
    <row r="337" spans="3:6">
      <c r="C337" t="s">
        <v>102</v>
      </c>
      <c r="D337">
        <f>2*D331*(D332^2+D333^2)</f>
        <v>80000.0000000006</v>
      </c>
      <c r="E337">
        <f>2*D332*D331^2</f>
        <v>17.1010071662829</v>
      </c>
      <c r="F337">
        <f>2*D333*D331^2</f>
        <v>-46.9846310392952</v>
      </c>
    </row>
    <row r="338" spans="4:6">
      <c r="D338">
        <f>2*D331*((D332+D$12)^2+D333^2)</f>
        <v>166042.41719908</v>
      </c>
      <c r="E338">
        <f>2*(D332+D$12)*D331^2</f>
        <v>54.6010071662823</v>
      </c>
      <c r="F338">
        <f>2*D333*D331^2</f>
        <v>-46.9846310392952</v>
      </c>
    </row>
    <row r="339" spans="4:6">
      <c r="D339">
        <f>2*D331*(D332^2+(D333+D$12)^2)</f>
        <v>12236.885505691</v>
      </c>
      <c r="E339">
        <f>2*D332*D331^2</f>
        <v>17.1010071662829</v>
      </c>
      <c r="F339">
        <f>2*(D333+D$12)*D331^2</f>
        <v>-9.48463103929577</v>
      </c>
    </row>
    <row r="340" spans="3:4">
      <c r="C340" t="s">
        <v>103</v>
      </c>
      <c r="D340">
        <f t="array" ref="D340">SUMPRODUCT(D331:D333,TRANSPOSE(D337:F337))</f>
        <v>40000</v>
      </c>
    </row>
    <row r="341" spans="4:4">
      <c r="D341">
        <f t="array" ref="D341">SUMPRODUCT(D331:D333,TRANSPOSE(D338:F338))</f>
        <v>66640.9064496545</v>
      </c>
    </row>
    <row r="342" spans="4:4">
      <c r="D342">
        <f t="array" ref="D342">SUMPRODUCT(D331:D333,TRANSPOSE(D339:F339))</f>
        <v>8963.83206463417</v>
      </c>
    </row>
    <row r="343" spans="3:4">
      <c r="C343" t="s">
        <v>104</v>
      </c>
      <c r="D343">
        <f t="shared" ref="D343:D345" si="22">D340-D334</f>
        <v>40000</v>
      </c>
    </row>
    <row r="344" spans="4:4">
      <c r="D344">
        <f t="shared" si="22"/>
        <v>66640.9064496545</v>
      </c>
    </row>
    <row r="345" spans="4:4">
      <c r="D345">
        <f t="shared" si="22"/>
        <v>8963.83206463417</v>
      </c>
    </row>
    <row r="346" spans="3:4">
      <c r="C346" t="s">
        <v>105</v>
      </c>
      <c r="D346">
        <f t="array" ref="D346:D348">lapack_dgesv(D337:F339,D343:D345)</f>
        <v>0.249999999999998</v>
      </c>
    </row>
    <row r="347" spans="4:4">
      <c r="D347">
        <v>136.808057330266</v>
      </c>
    </row>
    <row r="348" spans="4:4">
      <c r="D348">
        <v>-375.877048314367</v>
      </c>
    </row>
    <row r="349" spans="3:4">
      <c r="C349" t="s">
        <v>101</v>
      </c>
      <c r="D349">
        <f>D346^2*(D347^2+D348^2)-D$13</f>
        <v>0</v>
      </c>
    </row>
    <row r="350" spans="4:4">
      <c r="D350">
        <f>D346^2*((D347+D$12)^2+D348^2)-D$14</f>
        <v>0</v>
      </c>
    </row>
    <row r="351" spans="4:4">
      <c r="D351">
        <f>D346^2*(D347^2+(D348+D$12)^2)-D$15</f>
        <v>0</v>
      </c>
    </row>
    <row r="352" spans="3:6">
      <c r="C352" t="s">
        <v>102</v>
      </c>
      <c r="D352">
        <f>2*D346*(D347^2+D348^2)</f>
        <v>80000.0000000006</v>
      </c>
      <c r="E352">
        <f>2*D347*D346^2</f>
        <v>17.1010071662829</v>
      </c>
      <c r="F352">
        <f>2*D348*D346^2</f>
        <v>-46.9846310392952</v>
      </c>
    </row>
    <row r="353" spans="4:6">
      <c r="D353">
        <f>2*D346*((D347+D$12)^2+D348^2)</f>
        <v>166042.41719908</v>
      </c>
      <c r="E353">
        <f>2*(D347+D$12)*D346^2</f>
        <v>54.6010071662823</v>
      </c>
      <c r="F353">
        <f>2*D348*D346^2</f>
        <v>-46.9846310392952</v>
      </c>
    </row>
    <row r="354" spans="4:6">
      <c r="D354">
        <f>2*D346*(D347^2+(D348+D$12)^2)</f>
        <v>12236.885505691</v>
      </c>
      <c r="E354">
        <f>2*D347*D346^2</f>
        <v>17.1010071662829</v>
      </c>
      <c r="F354">
        <f>2*(D348+D$12)*D346^2</f>
        <v>-9.48463103929577</v>
      </c>
    </row>
    <row r="355" spans="3:4">
      <c r="C355" t="s">
        <v>103</v>
      </c>
      <c r="D355">
        <f t="array" ref="D355">SUMPRODUCT(D346:D348,TRANSPOSE(D352:F352))</f>
        <v>40000</v>
      </c>
    </row>
    <row r="356" spans="4:4">
      <c r="D356">
        <f t="array" ref="D356">SUMPRODUCT(D346:D348,TRANSPOSE(D353:F353))</f>
        <v>66640.9064496545</v>
      </c>
    </row>
    <row r="357" spans="4:4">
      <c r="D357">
        <f t="array" ref="D357">SUMPRODUCT(D346:D348,TRANSPOSE(D354:F354))</f>
        <v>8963.83206463416</v>
      </c>
    </row>
    <row r="358" spans="3:4">
      <c r="C358" t="s">
        <v>104</v>
      </c>
      <c r="D358">
        <f t="shared" ref="D358:D360" si="23">D355-D349</f>
        <v>40000</v>
      </c>
    </row>
    <row r="359" spans="4:4">
      <c r="D359">
        <f t="shared" si="23"/>
        <v>66640.9064496545</v>
      </c>
    </row>
    <row r="360" spans="4:4">
      <c r="D360">
        <f t="shared" si="23"/>
        <v>8963.83206463416</v>
      </c>
    </row>
    <row r="361" spans="3:4">
      <c r="C361" t="s">
        <v>105</v>
      </c>
      <c r="D361">
        <f t="array" ref="D361:D363">lapack_dgesv(D352:F354,D358:D360)</f>
        <v>0.249999999999998</v>
      </c>
    </row>
    <row r="362" spans="4:4">
      <c r="D362">
        <v>136.808057330266</v>
      </c>
    </row>
    <row r="363" spans="4:4">
      <c r="D363">
        <v>-375.877048314367</v>
      </c>
    </row>
    <row r="364" spans="3:4">
      <c r="C364" t="s">
        <v>101</v>
      </c>
      <c r="D364">
        <f>D361^2*(D362^2+D363^2)-D$13</f>
        <v>0</v>
      </c>
    </row>
    <row r="365" spans="4:4">
      <c r="D365">
        <f>D361^2*((D362+D$12)^2+D363^2)-D$14</f>
        <v>0</v>
      </c>
    </row>
    <row r="366" spans="4:4">
      <c r="D366">
        <f>D361^2*(D362^2+(D363+D$12)^2)-D$15</f>
        <v>0</v>
      </c>
    </row>
    <row r="367" spans="3:6">
      <c r="C367" t="s">
        <v>102</v>
      </c>
      <c r="D367">
        <f>2*D361*(D362^2+D363^2)</f>
        <v>80000.0000000006</v>
      </c>
      <c r="E367">
        <f>2*D362*D361^2</f>
        <v>17.1010071662829</v>
      </c>
      <c r="F367">
        <f>2*D363*D361^2</f>
        <v>-46.9846310392952</v>
      </c>
    </row>
    <row r="368" spans="4:6">
      <c r="D368">
        <f>2*D361*((D362+D$12)^2+D363^2)</f>
        <v>166042.41719908</v>
      </c>
      <c r="E368">
        <f>2*(D362+D$12)*D361^2</f>
        <v>54.6010071662824</v>
      </c>
      <c r="F368">
        <f>2*D363*D361^2</f>
        <v>-46.9846310392952</v>
      </c>
    </row>
    <row r="369" spans="4:6">
      <c r="D369">
        <f>2*D361*(D362^2+(D363+D$12)^2)</f>
        <v>12236.885505691</v>
      </c>
      <c r="E369">
        <f>2*D362*D361^2</f>
        <v>17.1010071662829</v>
      </c>
      <c r="F369">
        <f>2*(D363+D$12)*D361^2</f>
        <v>-9.48463103929576</v>
      </c>
    </row>
    <row r="370" spans="3:4">
      <c r="C370" t="s">
        <v>103</v>
      </c>
      <c r="D370">
        <f t="array" ref="D370">SUMPRODUCT(D361:D363,TRANSPOSE(D367:F367))</f>
        <v>40000</v>
      </c>
    </row>
    <row r="371" spans="4:4">
      <c r="D371">
        <f t="array" ref="D371">SUMPRODUCT(D361:D363,TRANSPOSE(D368:F368))</f>
        <v>66640.9064496545</v>
      </c>
    </row>
    <row r="372" spans="4:4">
      <c r="D372">
        <f t="array" ref="D372">SUMPRODUCT(D361:D363,TRANSPOSE(D369:F369))</f>
        <v>8963.83206463416</v>
      </c>
    </row>
    <row r="373" spans="3:4">
      <c r="C373" t="s">
        <v>104</v>
      </c>
      <c r="D373">
        <f t="shared" ref="D373:D375" si="24">D370-D364</f>
        <v>40000</v>
      </c>
    </row>
    <row r="374" spans="4:4">
      <c r="D374">
        <f t="shared" si="24"/>
        <v>66640.9064496545</v>
      </c>
    </row>
    <row r="375" spans="4:4">
      <c r="D375">
        <f t="shared" si="24"/>
        <v>8963.83206463416</v>
      </c>
    </row>
    <row r="376" spans="3:4">
      <c r="C376" t="s">
        <v>105</v>
      </c>
      <c r="D376">
        <f t="array" ref="D376:D378">lapack_dgesv(D367:F369,D373:D375)</f>
        <v>0.249999999999998</v>
      </c>
    </row>
    <row r="377" spans="4:4">
      <c r="D377">
        <v>136.808057330266</v>
      </c>
    </row>
    <row r="378" spans="4:4">
      <c r="D378">
        <v>-375.877048314367</v>
      </c>
    </row>
    <row r="379" spans="3:4">
      <c r="C379" t="s">
        <v>101</v>
      </c>
      <c r="D379">
        <f>D376^2*(D377^2+D378^2)-D$13</f>
        <v>0</v>
      </c>
    </row>
    <row r="380" spans="4:4">
      <c r="D380">
        <f>D376^2*((D377+D$12)^2+D378^2)-D$14</f>
        <v>0</v>
      </c>
    </row>
    <row r="381" spans="4:4">
      <c r="D381">
        <f>D376^2*(D377^2+(D378+D$12)^2)-D$15</f>
        <v>0</v>
      </c>
    </row>
    <row r="382" spans="3:6">
      <c r="C382" t="s">
        <v>102</v>
      </c>
      <c r="D382">
        <f>2*D376*(D377^2+D378^2)</f>
        <v>80000.0000000007</v>
      </c>
      <c r="E382">
        <f>2*D377*D376^2</f>
        <v>17.1010071662829</v>
      </c>
      <c r="F382">
        <f>2*D378*D376^2</f>
        <v>-46.9846310392952</v>
      </c>
    </row>
    <row r="383" spans="4:6">
      <c r="D383">
        <f>2*D376*((D377+D$12)^2+D378^2)</f>
        <v>166042.41719908</v>
      </c>
      <c r="E383">
        <f>2*(D377+D$12)*D376^2</f>
        <v>54.6010071662823</v>
      </c>
      <c r="F383">
        <f>2*D378*D376^2</f>
        <v>-46.9846310392952</v>
      </c>
    </row>
    <row r="384" spans="4:6">
      <c r="D384">
        <f>2*D376*(D377^2+(D378+D$12)^2)</f>
        <v>12236.885505691</v>
      </c>
      <c r="E384">
        <f>2*D377*D376^2</f>
        <v>17.1010071662829</v>
      </c>
      <c r="F384">
        <f>2*(D378+D$12)*D376^2</f>
        <v>-9.48463103929578</v>
      </c>
    </row>
    <row r="385" spans="3:4">
      <c r="C385" t="s">
        <v>103</v>
      </c>
      <c r="D385">
        <f t="array" ref="D385">SUMPRODUCT(D376:D378,TRANSPOSE(D382:F382))</f>
        <v>40000</v>
      </c>
    </row>
    <row r="386" spans="4:4">
      <c r="D386">
        <f t="array" ref="D386">SUMPRODUCT(D376:D378,TRANSPOSE(D383:F383))</f>
        <v>66640.9064496545</v>
      </c>
    </row>
    <row r="387" spans="4:4">
      <c r="D387">
        <f t="array" ref="D387">SUMPRODUCT(D376:D378,TRANSPOSE(D384:F384))</f>
        <v>8963.83206463417</v>
      </c>
    </row>
    <row r="388" spans="3:4">
      <c r="C388" t="s">
        <v>104</v>
      </c>
      <c r="D388">
        <f t="shared" ref="D388:D390" si="25">D385-D379</f>
        <v>40000</v>
      </c>
    </row>
    <row r="389" spans="4:4">
      <c r="D389">
        <f t="shared" si="25"/>
        <v>66640.9064496545</v>
      </c>
    </row>
    <row r="390" spans="4:4">
      <c r="D390">
        <f t="shared" si="25"/>
        <v>8963.83206463417</v>
      </c>
    </row>
    <row r="391" spans="3:4">
      <c r="C391" t="s">
        <v>105</v>
      </c>
      <c r="D391">
        <f t="array" ref="D391:D393">lapack_dgesv(D382:F384,D388:D390)</f>
        <v>0.249999999999998</v>
      </c>
    </row>
    <row r="392" spans="4:4">
      <c r="D392">
        <v>136.808057330266</v>
      </c>
    </row>
    <row r="393" spans="4:4">
      <c r="D393">
        <v>-375.877048314367</v>
      </c>
    </row>
    <row r="394" spans="3:4">
      <c r="C394" t="s">
        <v>101</v>
      </c>
      <c r="D394">
        <f>D391^2*(D392^2+D393^2)-D$13</f>
        <v>0</v>
      </c>
    </row>
    <row r="395" spans="4:4">
      <c r="D395">
        <f>D391^2*((D392+D$12)^2+D393^2)-D$14</f>
        <v>0</v>
      </c>
    </row>
    <row r="396" spans="4:4">
      <c r="D396">
        <f>D391^2*(D392^2+(D393+D$12)^2)-D$15</f>
        <v>0</v>
      </c>
    </row>
    <row r="397" spans="3:6">
      <c r="C397" t="s">
        <v>102</v>
      </c>
      <c r="D397">
        <f>2*D391*(D392^2+D393^2)</f>
        <v>80000.0000000007</v>
      </c>
      <c r="E397">
        <f>2*D392*D391^2</f>
        <v>17.1010071662829</v>
      </c>
      <c r="F397">
        <f>2*D393*D391^2</f>
        <v>-46.9846310392952</v>
      </c>
    </row>
    <row r="398" spans="4:6">
      <c r="D398">
        <f>2*D391*((D392+D$12)^2+D393^2)</f>
        <v>166042.41719908</v>
      </c>
      <c r="E398">
        <f>2*(D392+D$12)*D391^2</f>
        <v>54.6010071662823</v>
      </c>
      <c r="F398">
        <f>2*D393*D391^2</f>
        <v>-46.9846310392952</v>
      </c>
    </row>
    <row r="399" spans="4:6">
      <c r="D399">
        <f>2*D391*(D392^2+(D393+D$12)^2)</f>
        <v>12236.885505691</v>
      </c>
      <c r="E399">
        <f>2*D392*D391^2</f>
        <v>17.1010071662829</v>
      </c>
      <c r="F399">
        <f>2*(D393+D$12)*D391^2</f>
        <v>-9.48463103929578</v>
      </c>
    </row>
    <row r="400" spans="3:4">
      <c r="C400" t="s">
        <v>103</v>
      </c>
      <c r="D400">
        <f t="array" ref="D400">SUMPRODUCT(D391:D393,TRANSPOSE(D397:F397))</f>
        <v>40000</v>
      </c>
    </row>
    <row r="401" spans="4:4">
      <c r="D401">
        <f t="array" ref="D401">SUMPRODUCT(D391:D393,TRANSPOSE(D398:F398))</f>
        <v>66640.9064496545</v>
      </c>
    </row>
    <row r="402" spans="4:4">
      <c r="D402">
        <f t="array" ref="D402">SUMPRODUCT(D391:D393,TRANSPOSE(D399:F399))</f>
        <v>8963.83206463416</v>
      </c>
    </row>
    <row r="403" spans="3:4">
      <c r="C403" t="s">
        <v>104</v>
      </c>
      <c r="D403">
        <f t="shared" ref="D403:D405" si="26">D400-D394</f>
        <v>40000</v>
      </c>
    </row>
    <row r="404" spans="4:4">
      <c r="D404">
        <f t="shared" si="26"/>
        <v>66640.9064496545</v>
      </c>
    </row>
    <row r="405" spans="4:4">
      <c r="D405">
        <f t="shared" si="26"/>
        <v>8963.83206463416</v>
      </c>
    </row>
    <row r="406" spans="3:4">
      <c r="C406" t="s">
        <v>105</v>
      </c>
      <c r="D406">
        <f t="array" ref="D406:D408">lapack_dgesv(D397:F399,D403:D405)</f>
        <v>0.249999999999998</v>
      </c>
    </row>
    <row r="407" spans="4:4">
      <c r="D407">
        <v>136.808057330266</v>
      </c>
    </row>
    <row r="408" spans="4:4">
      <c r="D408">
        <v>-375.877048314367</v>
      </c>
    </row>
    <row r="409" spans="3:4">
      <c r="C409" t="s">
        <v>101</v>
      </c>
      <c r="D409">
        <f>D406^2*(D407^2+D408^2)-D$13</f>
        <v>0</v>
      </c>
    </row>
    <row r="410" spans="4:4">
      <c r="D410">
        <f>D406^2*((D407+D$12)^2+D408^2)-D$14</f>
        <v>0</v>
      </c>
    </row>
    <row r="411" spans="4:4">
      <c r="D411">
        <f>D406^2*(D407^2+(D408+D$12)^2)-D$15</f>
        <v>0</v>
      </c>
    </row>
    <row r="412" spans="3:6">
      <c r="C412" t="s">
        <v>102</v>
      </c>
      <c r="D412">
        <f>2*D406*(D407^2+D408^2)</f>
        <v>80000.0000000006</v>
      </c>
      <c r="E412">
        <f>2*D407*D406^2</f>
        <v>17.1010071662829</v>
      </c>
      <c r="F412">
        <f>2*D408*D406^2</f>
        <v>-46.9846310392952</v>
      </c>
    </row>
    <row r="413" spans="4:6">
      <c r="D413">
        <f>2*D406*((D407+D$12)^2+D408^2)</f>
        <v>166042.41719908</v>
      </c>
      <c r="E413">
        <f>2*(D407+D$12)*D406^2</f>
        <v>54.6010071662823</v>
      </c>
      <c r="F413">
        <f>2*D408*D406^2</f>
        <v>-46.9846310392952</v>
      </c>
    </row>
    <row r="414" spans="4:6">
      <c r="D414">
        <f>2*D406*(D407^2+(D408+D$12)^2)</f>
        <v>12236.885505691</v>
      </c>
      <c r="E414">
        <f>2*D407*D406^2</f>
        <v>17.1010071662829</v>
      </c>
      <c r="F414">
        <f>2*(D408+D$12)*D406^2</f>
        <v>-9.48463103929577</v>
      </c>
    </row>
    <row r="415" spans="3:4">
      <c r="C415" t="s">
        <v>103</v>
      </c>
      <c r="D415">
        <f t="array" ref="D415">SUMPRODUCT(D406:D408,TRANSPOSE(D412:F412))</f>
        <v>40000</v>
      </c>
    </row>
    <row r="416" spans="4:4">
      <c r="D416">
        <f t="array" ref="D416">SUMPRODUCT(D406:D408,TRANSPOSE(D413:F413))</f>
        <v>66640.9064496544</v>
      </c>
    </row>
    <row r="417" spans="4:4">
      <c r="D417">
        <f t="array" ref="D417">SUMPRODUCT(D406:D408,TRANSPOSE(D414:F414))</f>
        <v>8963.83206463416</v>
      </c>
    </row>
    <row r="418" spans="3:4">
      <c r="C418" t="s">
        <v>104</v>
      </c>
      <c r="D418">
        <f t="shared" ref="D418:D420" si="27">D415-D409</f>
        <v>40000</v>
      </c>
    </row>
    <row r="419" spans="4:4">
      <c r="D419">
        <f t="shared" si="27"/>
        <v>66640.9064496544</v>
      </c>
    </row>
    <row r="420" spans="4:4">
      <c r="D420">
        <f t="shared" si="27"/>
        <v>8963.83206463416</v>
      </c>
    </row>
    <row r="421" spans="3:4">
      <c r="C421" t="s">
        <v>105</v>
      </c>
      <c r="D421">
        <f t="array" ref="D421:D423">lapack_dgesv(D412:F414,D418:D420)</f>
        <v>0.249999999999998</v>
      </c>
    </row>
    <row r="422" spans="4:4">
      <c r="D422">
        <v>136.808057330266</v>
      </c>
    </row>
    <row r="423" spans="4:4">
      <c r="D423">
        <v>-375.877048314368</v>
      </c>
    </row>
    <row r="424" spans="3:4">
      <c r="C424" t="s">
        <v>101</v>
      </c>
      <c r="D424">
        <f>D421^2*(D422^2+D423^2)-D$13</f>
        <v>0</v>
      </c>
    </row>
    <row r="425" spans="4:4">
      <c r="D425">
        <f>D421^2*((D422+D$12)^2+D423^2)-D$14</f>
        <v>0</v>
      </c>
    </row>
    <row r="426" spans="4:4">
      <c r="D426">
        <f>D421^2*(D422^2+(D423+D$12)^2)-D$15</f>
        <v>0</v>
      </c>
    </row>
    <row r="427" spans="3:6">
      <c r="C427" t="s">
        <v>102</v>
      </c>
      <c r="D427">
        <f>2*D421*(D422^2+D423^2)</f>
        <v>80000.0000000007</v>
      </c>
      <c r="E427">
        <f>2*D422*D421^2</f>
        <v>17.1010071662829</v>
      </c>
      <c r="F427">
        <f>2*D423*D421^2</f>
        <v>-46.9846310392952</v>
      </c>
    </row>
    <row r="428" spans="4:6">
      <c r="D428">
        <f>2*D421*((D422+D$12)^2+D423^2)</f>
        <v>166042.41719908</v>
      </c>
      <c r="E428">
        <f>2*(D422+D$12)*D421^2</f>
        <v>54.6010071662823</v>
      </c>
      <c r="F428">
        <f>2*D423*D421^2</f>
        <v>-46.9846310392952</v>
      </c>
    </row>
    <row r="429" spans="4:6">
      <c r="D429">
        <f>2*D421*(D422^2+(D423+D$12)^2)</f>
        <v>12236.885505691</v>
      </c>
      <c r="E429">
        <f>2*D422*D421^2</f>
        <v>17.1010071662829</v>
      </c>
      <c r="F429">
        <f>2*(D423+D$12)*D421^2</f>
        <v>-9.48463103929579</v>
      </c>
    </row>
    <row r="430" spans="3:4">
      <c r="C430" t="s">
        <v>103</v>
      </c>
      <c r="D430">
        <f t="array" ref="D430">SUMPRODUCT(D421:D423,TRANSPOSE(D427:F427))</f>
        <v>40000</v>
      </c>
    </row>
    <row r="431" spans="4:4">
      <c r="D431">
        <f t="array" ref="D431">SUMPRODUCT(D421:D423,TRANSPOSE(D428:F428))</f>
        <v>66640.9064496544</v>
      </c>
    </row>
    <row r="432" spans="4:4">
      <c r="D432">
        <f t="array" ref="D432">SUMPRODUCT(D421:D423,TRANSPOSE(D429:F429))</f>
        <v>8963.83206463417</v>
      </c>
    </row>
    <row r="433" spans="3:4">
      <c r="C433" t="s">
        <v>104</v>
      </c>
      <c r="D433">
        <f t="shared" ref="D433:D435" si="28">D430-D424</f>
        <v>40000</v>
      </c>
    </row>
    <row r="434" spans="4:4">
      <c r="D434">
        <f t="shared" si="28"/>
        <v>66640.9064496544</v>
      </c>
    </row>
    <row r="435" spans="4:4">
      <c r="D435">
        <f t="shared" si="28"/>
        <v>8963.83206463417</v>
      </c>
    </row>
    <row r="436" spans="3:4">
      <c r="C436" t="s">
        <v>105</v>
      </c>
      <c r="D436">
        <f t="array" ref="D436:D438">lapack_dgesv(D427:F429,D433:D435)</f>
        <v>0.249999999999998</v>
      </c>
    </row>
    <row r="437" spans="4:4">
      <c r="D437">
        <v>136.808057330266</v>
      </c>
    </row>
    <row r="438" spans="4:4">
      <c r="D438">
        <v>-375.877048314367</v>
      </c>
    </row>
    <row r="439" spans="3:4">
      <c r="C439" t="s">
        <v>101</v>
      </c>
      <c r="D439">
        <f>D436^2*(D437^2+D438^2)-D$13</f>
        <v>0</v>
      </c>
    </row>
    <row r="440" spans="4:4">
      <c r="D440">
        <f>D436^2*((D437+D$12)^2+D438^2)-D$14</f>
        <v>0</v>
      </c>
    </row>
    <row r="441" spans="4:4">
      <c r="D441">
        <f>D436^2*(D437^2+(D438+D$12)^2)-D$15</f>
        <v>0</v>
      </c>
    </row>
    <row r="442" spans="3:6">
      <c r="C442" t="s">
        <v>102</v>
      </c>
      <c r="D442">
        <f>2*D436*(D437^2+D438^2)</f>
        <v>80000.0000000006</v>
      </c>
      <c r="E442">
        <f>2*D437*D436^2</f>
        <v>17.1010071662829</v>
      </c>
      <c r="F442">
        <f>2*D438*D436^2</f>
        <v>-46.9846310392952</v>
      </c>
    </row>
    <row r="443" spans="4:6">
      <c r="D443">
        <f>2*D436*((D437+D$12)^2+D438^2)</f>
        <v>166042.41719908</v>
      </c>
      <c r="E443">
        <f>2*(D437+D$12)*D436^2</f>
        <v>54.6010071662823</v>
      </c>
      <c r="F443">
        <f>2*D438*D436^2</f>
        <v>-46.9846310392952</v>
      </c>
    </row>
    <row r="444" spans="4:6">
      <c r="D444">
        <f>2*D436*(D437^2+(D438+D$12)^2)</f>
        <v>12236.885505691</v>
      </c>
      <c r="E444">
        <f>2*D437*D436^2</f>
        <v>17.1010071662829</v>
      </c>
      <c r="F444">
        <f>2*(D438+D$12)*D436^2</f>
        <v>-9.48463103929577</v>
      </c>
    </row>
    <row r="445" spans="3:4">
      <c r="C445" t="s">
        <v>103</v>
      </c>
      <c r="D445">
        <f t="array" ref="D445">SUMPRODUCT(D436:D438,TRANSPOSE(D442:F442))</f>
        <v>40000</v>
      </c>
    </row>
    <row r="446" spans="4:4">
      <c r="D446">
        <f t="array" ref="D446">SUMPRODUCT(D436:D438,TRANSPOSE(D443:F443))</f>
        <v>66640.9064496545</v>
      </c>
    </row>
    <row r="447" spans="4:4">
      <c r="D447">
        <f t="array" ref="D447">SUMPRODUCT(D436:D438,TRANSPOSE(D444:F444))</f>
        <v>8963.83206463417</v>
      </c>
    </row>
    <row r="448" spans="3:4">
      <c r="C448" t="s">
        <v>104</v>
      </c>
      <c r="D448">
        <f t="shared" ref="D448:D450" si="29">D445-D439</f>
        <v>40000</v>
      </c>
    </row>
    <row r="449" spans="4:4">
      <c r="D449">
        <f t="shared" si="29"/>
        <v>66640.9064496545</v>
      </c>
    </row>
    <row r="450" spans="4:4">
      <c r="D450">
        <f t="shared" si="29"/>
        <v>8963.83206463417</v>
      </c>
    </row>
    <row r="451" spans="3:4">
      <c r="C451" t="s">
        <v>105</v>
      </c>
      <c r="D451">
        <f t="array" ref="D451:D453">lapack_dgesv(D442:F444,D448:D450)</f>
        <v>0.249999999999998</v>
      </c>
    </row>
    <row r="452" spans="4:4">
      <c r="D452">
        <v>136.808057330266</v>
      </c>
    </row>
    <row r="453" spans="4:4">
      <c r="D453">
        <v>-375.877048314367</v>
      </c>
    </row>
    <row r="454" spans="3:4">
      <c r="C454" t="s">
        <v>101</v>
      </c>
      <c r="D454">
        <f>D451^2*(D452^2+D453^2)-D$13</f>
        <v>0</v>
      </c>
    </row>
    <row r="455" spans="4:4">
      <c r="D455">
        <f>D451^2*((D452+D$12)^2+D453^2)-D$14</f>
        <v>0</v>
      </c>
    </row>
    <row r="456" spans="4:4">
      <c r="D456">
        <f>D451^2*(D452^2+(D453+D$12)^2)-D$15</f>
        <v>0</v>
      </c>
    </row>
    <row r="457" spans="3:6">
      <c r="C457" t="s">
        <v>102</v>
      </c>
      <c r="D457">
        <f>2*D451*(D452^2+D453^2)</f>
        <v>80000.0000000006</v>
      </c>
      <c r="E457">
        <f>2*D452*D451^2</f>
        <v>17.1010071662829</v>
      </c>
      <c r="F457">
        <f>2*D453*D451^2</f>
        <v>-46.9846310392952</v>
      </c>
    </row>
    <row r="458" spans="4:6">
      <c r="D458">
        <f>2*D451*((D452+D$12)^2+D453^2)</f>
        <v>166042.41719908</v>
      </c>
      <c r="E458">
        <f>2*(D452+D$12)*D451^2</f>
        <v>54.6010071662823</v>
      </c>
      <c r="F458">
        <f>2*D453*D451^2</f>
        <v>-46.9846310392952</v>
      </c>
    </row>
    <row r="459" spans="4:6">
      <c r="D459">
        <f>2*D451*(D452^2+(D453+D$12)^2)</f>
        <v>12236.885505691</v>
      </c>
      <c r="E459">
        <f>2*D452*D451^2</f>
        <v>17.1010071662829</v>
      </c>
      <c r="F459">
        <f>2*(D453+D$12)*D451^2</f>
        <v>-9.48463103929577</v>
      </c>
    </row>
    <row r="460" spans="3:4">
      <c r="C460" t="s">
        <v>103</v>
      </c>
      <c r="D460">
        <f t="array" ref="D460">SUMPRODUCT(D451:D453,TRANSPOSE(D457:F457))</f>
        <v>40000</v>
      </c>
    </row>
    <row r="461" spans="4:4">
      <c r="D461">
        <f t="array" ref="D461">SUMPRODUCT(D451:D453,TRANSPOSE(D458:F458))</f>
        <v>66640.9064496545</v>
      </c>
    </row>
    <row r="462" spans="4:4">
      <c r="D462">
        <f t="array" ref="D462">SUMPRODUCT(D451:D453,TRANSPOSE(D459:F459))</f>
        <v>8963.83206463416</v>
      </c>
    </row>
    <row r="463" spans="3:4">
      <c r="C463" t="s">
        <v>104</v>
      </c>
      <c r="D463">
        <f t="shared" ref="D463:D465" si="30">D460-D454</f>
        <v>40000</v>
      </c>
    </row>
    <row r="464" spans="4:4">
      <c r="D464">
        <f t="shared" si="30"/>
        <v>66640.9064496545</v>
      </c>
    </row>
    <row r="465" spans="4:4">
      <c r="D465">
        <f t="shared" si="30"/>
        <v>8963.83206463416</v>
      </c>
    </row>
    <row r="466" spans="3:4">
      <c r="C466" t="s">
        <v>105</v>
      </c>
      <c r="D466">
        <f t="array" ref="D466:D468">lapack_dgesv(D457:F459,D463:D465)</f>
        <v>0.249999999999998</v>
      </c>
    </row>
    <row r="467" spans="4:4">
      <c r="D467">
        <v>136.808057330266</v>
      </c>
    </row>
    <row r="468" spans="4:4">
      <c r="D468">
        <v>-375.877048314367</v>
      </c>
    </row>
    <row r="469" spans="3:4">
      <c r="C469" t="s">
        <v>101</v>
      </c>
      <c r="D469">
        <f>D466^2*(D467^2+D468^2)-D$13</f>
        <v>0</v>
      </c>
    </row>
    <row r="470" spans="4:4">
      <c r="D470">
        <f>D466^2*((D467+D$12)^2+D468^2)-D$14</f>
        <v>0</v>
      </c>
    </row>
    <row r="471" spans="4:4">
      <c r="D471">
        <f>D466^2*(D467^2+(D468+D$12)^2)-D$15</f>
        <v>0</v>
      </c>
    </row>
    <row r="472" spans="3:6">
      <c r="C472" t="s">
        <v>102</v>
      </c>
      <c r="D472">
        <f>2*D466*(D467^2+D468^2)</f>
        <v>80000.0000000006</v>
      </c>
      <c r="E472">
        <f>2*D467*D466^2</f>
        <v>17.1010071662829</v>
      </c>
      <c r="F472">
        <f>2*D468*D466^2</f>
        <v>-46.9846310392952</v>
      </c>
    </row>
    <row r="473" spans="4:6">
      <c r="D473">
        <f>2*D466*((D467+D$12)^2+D468^2)</f>
        <v>166042.41719908</v>
      </c>
      <c r="E473">
        <f>2*(D467+D$12)*D466^2</f>
        <v>54.6010071662824</v>
      </c>
      <c r="F473">
        <f>2*D468*D466^2</f>
        <v>-46.9846310392952</v>
      </c>
    </row>
    <row r="474" spans="4:6">
      <c r="D474">
        <f>2*D466*(D467^2+(D468+D$12)^2)</f>
        <v>12236.885505691</v>
      </c>
      <c r="E474">
        <f>2*D467*D466^2</f>
        <v>17.1010071662829</v>
      </c>
      <c r="F474">
        <f>2*(D468+D$12)*D466^2</f>
        <v>-9.48463103929576</v>
      </c>
    </row>
    <row r="475" spans="3:4">
      <c r="C475" t="s">
        <v>103</v>
      </c>
      <c r="D475">
        <f t="array" ref="D475">SUMPRODUCT(D466:D468,TRANSPOSE(D472:F472))</f>
        <v>40000</v>
      </c>
    </row>
    <row r="476" spans="4:4">
      <c r="D476">
        <f t="array" ref="D476">SUMPRODUCT(D466:D468,TRANSPOSE(D473:F473))</f>
        <v>66640.9064496545</v>
      </c>
    </row>
    <row r="477" spans="4:4">
      <c r="D477">
        <f t="array" ref="D477">SUMPRODUCT(D466:D468,TRANSPOSE(D474:F474))</f>
        <v>8963.83206463416</v>
      </c>
    </row>
    <row r="478" spans="3:4">
      <c r="C478" t="s">
        <v>104</v>
      </c>
      <c r="D478">
        <f t="shared" ref="D478:D480" si="31">D475-D469</f>
        <v>40000</v>
      </c>
    </row>
    <row r="479" spans="4:4">
      <c r="D479">
        <f t="shared" si="31"/>
        <v>66640.9064496545</v>
      </c>
    </row>
    <row r="480" spans="4:4">
      <c r="D480">
        <f t="shared" si="31"/>
        <v>8963.83206463416</v>
      </c>
    </row>
    <row r="481" spans="3:4">
      <c r="C481" t="s">
        <v>105</v>
      </c>
      <c r="D481">
        <f t="array" ref="D481:D483">lapack_dgesv(D472:F474,D478:D480)</f>
        <v>0.249999999999998</v>
      </c>
    </row>
    <row r="482" spans="4:4">
      <c r="D482">
        <v>136.808057330266</v>
      </c>
    </row>
    <row r="483" spans="4:4">
      <c r="D483">
        <v>-375.877048314367</v>
      </c>
    </row>
    <row r="484" spans="3:4">
      <c r="C484" t="s">
        <v>101</v>
      </c>
      <c r="D484">
        <f>D481^2*(D482^2+D483^2)-D$13</f>
        <v>0</v>
      </c>
    </row>
    <row r="485" spans="4:4">
      <c r="D485">
        <f>D481^2*((D482+D$12)^2+D483^2)-D$14</f>
        <v>0</v>
      </c>
    </row>
    <row r="486" spans="4:4">
      <c r="D486">
        <f>D481^2*(D482^2+(D483+D$12)^2)-D$15</f>
        <v>0</v>
      </c>
    </row>
    <row r="487" spans="3:6">
      <c r="C487" t="s">
        <v>102</v>
      </c>
      <c r="D487">
        <f>2*D481*(D482^2+D483^2)</f>
        <v>80000.0000000007</v>
      </c>
      <c r="E487">
        <f>2*D482*D481^2</f>
        <v>17.1010071662829</v>
      </c>
      <c r="F487">
        <f>2*D483*D481^2</f>
        <v>-46.9846310392952</v>
      </c>
    </row>
    <row r="488" spans="4:6">
      <c r="D488">
        <f>2*D481*((D482+D$12)^2+D483^2)</f>
        <v>166042.41719908</v>
      </c>
      <c r="E488">
        <f>2*(D482+D$12)*D481^2</f>
        <v>54.6010071662823</v>
      </c>
      <c r="F488">
        <f>2*D483*D481^2</f>
        <v>-46.9846310392952</v>
      </c>
    </row>
    <row r="489" spans="4:6">
      <c r="D489">
        <f>2*D481*(D482^2+(D483+D$12)^2)</f>
        <v>12236.885505691</v>
      </c>
      <c r="E489">
        <f>2*D482*D481^2</f>
        <v>17.1010071662829</v>
      </c>
      <c r="F489">
        <f>2*(D483+D$12)*D481^2</f>
        <v>-9.48463103929578</v>
      </c>
    </row>
    <row r="490" spans="3:4">
      <c r="C490" t="s">
        <v>103</v>
      </c>
      <c r="D490">
        <f t="array" ref="D490">SUMPRODUCT(D481:D483,TRANSPOSE(D487:F487))</f>
        <v>40000</v>
      </c>
    </row>
    <row r="491" spans="4:4">
      <c r="D491">
        <f t="array" ref="D491">SUMPRODUCT(D481:D483,TRANSPOSE(D488:F488))</f>
        <v>66640.9064496545</v>
      </c>
    </row>
    <row r="492" spans="4:4">
      <c r="D492">
        <f t="array" ref="D492">SUMPRODUCT(D481:D483,TRANSPOSE(D489:F489))</f>
        <v>8963.83206463417</v>
      </c>
    </row>
    <row r="493" spans="3:4">
      <c r="C493" t="s">
        <v>104</v>
      </c>
      <c r="D493">
        <f t="shared" ref="D493:D495" si="32">D490-D484</f>
        <v>40000</v>
      </c>
    </row>
    <row r="494" spans="4:4">
      <c r="D494">
        <f t="shared" si="32"/>
        <v>66640.9064496545</v>
      </c>
    </row>
    <row r="495" spans="4:4">
      <c r="D495">
        <f t="shared" si="32"/>
        <v>8963.83206463417</v>
      </c>
    </row>
    <row r="496" spans="3:4">
      <c r="C496" t="s">
        <v>105</v>
      </c>
      <c r="D496">
        <f t="array" ref="D496:D498">lapack_dgesv(D487:F489,D493:D495)</f>
        <v>0.249999999999998</v>
      </c>
    </row>
    <row r="497" spans="4:4">
      <c r="D497">
        <v>136.808057330266</v>
      </c>
    </row>
    <row r="498" spans="4:4">
      <c r="D498">
        <v>-375.877048314367</v>
      </c>
    </row>
  </sheetData>
  <pageMargins left="0.75" right="0.75" top="1" bottom="1" header="0.5" footer="0.5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G1143"/>
  <sheetViews>
    <sheetView tabSelected="1" workbookViewId="0">
      <selection activeCell="B20" sqref="B20"/>
    </sheetView>
  </sheetViews>
  <sheetFormatPr defaultColWidth="9" defaultRowHeight="13.5" outlineLevelCol="6"/>
  <cols>
    <col min="2" max="2" width="40.125" customWidth="1"/>
    <col min="3" max="3" width="12.625" customWidth="1"/>
    <col min="4" max="4" width="13.75" customWidth="1"/>
    <col min="5" max="7" width="12.625"/>
  </cols>
  <sheetData>
    <row r="1" spans="1:6">
      <c r="A1" t="s">
        <v>68</v>
      </c>
      <c r="B1" t="s">
        <v>106</v>
      </c>
      <c r="C1">
        <f t="shared" ref="C1:C10" si="0">0+LEFT(B1,FIND("∠",B1)-1)</f>
        <v>0.23456987</v>
      </c>
      <c r="F1" s="1" t="s">
        <v>94</v>
      </c>
    </row>
    <row r="2" spans="1:4">
      <c r="A2" t="s">
        <v>70</v>
      </c>
      <c r="B2" t="s">
        <v>107</v>
      </c>
      <c r="C2">
        <f t="shared" si="0"/>
        <v>10000</v>
      </c>
      <c r="D2">
        <f>0+MID(B2,FIND("∠",B2)+1,100)</f>
        <v>333</v>
      </c>
    </row>
    <row r="3" spans="1:6">
      <c r="A3" t="s">
        <v>72</v>
      </c>
      <c r="B3" t="str">
        <f>VecProduct(B1,B2)</f>
        <v>2345.6987∠251°</v>
      </c>
      <c r="C3">
        <f t="shared" si="0"/>
        <v>2345.6987</v>
      </c>
      <c r="E3" t="s">
        <v>90</v>
      </c>
      <c r="F3">
        <f>C1</f>
        <v>0.23456987</v>
      </c>
    </row>
    <row r="4" spans="1:6">
      <c r="A4" t="s">
        <v>73</v>
      </c>
      <c r="B4">
        <v>200</v>
      </c>
      <c r="E4" t="s">
        <v>84</v>
      </c>
      <c r="F4">
        <f>C2*COS(D2/180*PI())</f>
        <v>8910.06524188368</v>
      </c>
    </row>
    <row r="5" spans="1:6">
      <c r="A5" t="s">
        <v>74</v>
      </c>
      <c r="B5" t="str">
        <f>B4&amp;"∠"&amp;0</f>
        <v>200∠0</v>
      </c>
      <c r="C5">
        <f t="shared" si="0"/>
        <v>200</v>
      </c>
      <c r="E5" t="s">
        <v>85</v>
      </c>
      <c r="F5">
        <f>C2*SIN(D2/180*PI())</f>
        <v>-4539.90499739547</v>
      </c>
    </row>
    <row r="6" spans="1:6">
      <c r="A6" t="s">
        <v>75</v>
      </c>
      <c r="B6" t="str">
        <f>VecAdd(B$2,B5)</f>
        <v>10178.6062944174∠333.511112893356°</v>
      </c>
      <c r="C6">
        <f t="shared" si="0"/>
        <v>10178.6062944174</v>
      </c>
      <c r="E6" t="s">
        <v>91</v>
      </c>
      <c r="F6">
        <f>F3^2*(F4^2+F5^2)</f>
        <v>5502302.39118169</v>
      </c>
    </row>
    <row r="7" spans="1:6">
      <c r="A7" t="s">
        <v>76</v>
      </c>
      <c r="B7" t="str">
        <f>VecProduct(B$1,B6)</f>
        <v>2387.59435526267∠251.511112893356°</v>
      </c>
      <c r="C7">
        <f t="shared" si="0"/>
        <v>2387.59435526267</v>
      </c>
      <c r="E7" t="s">
        <v>92</v>
      </c>
      <c r="F7">
        <f>C3^2</f>
        <v>5502302.39118169</v>
      </c>
    </row>
    <row r="8" spans="1:3">
      <c r="A8" t="s">
        <v>77</v>
      </c>
      <c r="B8" t="str">
        <f>B4&amp;"∠"&amp;90</f>
        <v>200∠90</v>
      </c>
      <c r="C8">
        <f t="shared" si="0"/>
        <v>200</v>
      </c>
    </row>
    <row r="9" spans="1:3">
      <c r="A9" t="s">
        <v>78</v>
      </c>
      <c r="B9" t="str">
        <f>VecAdd(B$2,B8)</f>
        <v>9910.80410466486∠334.030262812142°</v>
      </c>
      <c r="C9">
        <f t="shared" si="0"/>
        <v>9910.80410466486</v>
      </c>
    </row>
    <row r="10" spans="1:3">
      <c r="A10" t="s">
        <v>79</v>
      </c>
      <c r="B10" t="str">
        <f>VecProduct(B$1,B9)</f>
        <v>2324.7760304267∠252.030262812142°</v>
      </c>
      <c r="C10">
        <f t="shared" si="0"/>
        <v>2324.7760304267</v>
      </c>
    </row>
    <row r="12" spans="1:4">
      <c r="A12" t="s">
        <v>90</v>
      </c>
      <c r="B12">
        <f>D1141</f>
        <v>0.23456986999999</v>
      </c>
      <c r="C12" t="s">
        <v>96</v>
      </c>
      <c r="D12">
        <f>B4</f>
        <v>200</v>
      </c>
    </row>
    <row r="13" spans="1:4">
      <c r="A13" t="s">
        <v>70</v>
      </c>
      <c r="B13">
        <f>D1142</f>
        <v>10000.0000000004</v>
      </c>
      <c r="C13" t="s">
        <v>72</v>
      </c>
      <c r="D13" s="2">
        <f>C3</f>
        <v>2345.6987</v>
      </c>
    </row>
    <row r="14" spans="1:4">
      <c r="A14" t="s">
        <v>86</v>
      </c>
      <c r="B14">
        <f>MOD(D1143*180/PI()+720,360)</f>
        <v>332.999999999996</v>
      </c>
      <c r="C14" t="s">
        <v>76</v>
      </c>
      <c r="D14" s="2">
        <f>C7</f>
        <v>2387.59435526267</v>
      </c>
    </row>
    <row r="15" spans="3:4">
      <c r="C15" t="s">
        <v>79</v>
      </c>
      <c r="D15" s="2">
        <f>C10</f>
        <v>2324.7760304267</v>
      </c>
    </row>
    <row r="16" spans="3:4">
      <c r="C16" t="s">
        <v>100</v>
      </c>
      <c r="D16">
        <v>0.5</v>
      </c>
    </row>
    <row r="17" spans="4:4">
      <c r="D17">
        <f>B4</f>
        <v>200</v>
      </c>
    </row>
    <row r="18" spans="4:4">
      <c r="D18">
        <f>PI()/4</f>
        <v>0.785398163397448</v>
      </c>
    </row>
    <row r="19" spans="3:7">
      <c r="C19" t="s">
        <v>101</v>
      </c>
      <c r="D19">
        <f>D16*D17-D$13</f>
        <v>-2245.6987</v>
      </c>
      <c r="G19">
        <f>SQRT(D19^2+D20^2+D21^2)</f>
        <v>3804.62511947991</v>
      </c>
    </row>
    <row r="20" spans="4:7">
      <c r="D20">
        <f>D16*SQRT(D17^2+2*D$12*D17*COS(D18)+D$12^2)-D$14</f>
        <v>-2202.81844876041</v>
      </c>
      <c r="G20" t="e">
        <f>G19/G4</f>
        <v>#DIV/0!</v>
      </c>
    </row>
    <row r="21" spans="4:4">
      <c r="D21">
        <f>D16*SQRT(D17^2+2*D$12*D17*SIN(D18)+D$12^2)-D$15</f>
        <v>-2140.00012392444</v>
      </c>
    </row>
    <row r="22" spans="3:6">
      <c r="C22" t="s">
        <v>102</v>
      </c>
      <c r="D22">
        <f>D17</f>
        <v>200</v>
      </c>
      <c r="E22">
        <f>D16</f>
        <v>0.5</v>
      </c>
      <c r="F22">
        <f>0</f>
        <v>0</v>
      </c>
    </row>
    <row r="23" spans="4:6">
      <c r="D23">
        <f>SQRT(D17^2+2*D$12*D17*COS(D18)+D$12^2)</f>
        <v>369.551813004515</v>
      </c>
      <c r="E23">
        <f>D16*(D17+D$12*COS(D18))/D23</f>
        <v>0.461939766255643</v>
      </c>
      <c r="F23">
        <f>-D$12*D16*D17*SIN(D18)/D23</f>
        <v>-38.268343236509</v>
      </c>
    </row>
    <row r="24" spans="4:6">
      <c r="D24">
        <f>SQRT(D17^2+2*D$12*D17*SIN(D18)+D$12^2)</f>
        <v>369.551813004515</v>
      </c>
      <c r="E24">
        <f>D16*(D17+D$12*SIN(D18))/D24</f>
        <v>0.461939766255643</v>
      </c>
      <c r="F24">
        <f>D$12*D16*D17*COS(D18)/D24</f>
        <v>38.268343236509</v>
      </c>
    </row>
    <row r="25" spans="3:4">
      <c r="C25" t="s">
        <v>103</v>
      </c>
      <c r="D25">
        <f t="array" ref="D25">SUMPRODUCT(D16:D18,TRANSPOSE(D22:F22))</f>
        <v>200</v>
      </c>
    </row>
    <row r="26" spans="4:4">
      <c r="D26">
        <f t="array" ref="D26">SUMPRODUCT(D16:D18,TRANSPOSE(D23:F23))</f>
        <v>247.107973259169</v>
      </c>
    </row>
    <row r="27" spans="4:4">
      <c r="D27">
        <f t="array" ref="D27">SUMPRODUCT(D16:D18,TRANSPOSE(D24:F24))</f>
        <v>307.219746247603</v>
      </c>
    </row>
    <row r="28" spans="3:4">
      <c r="C28" t="s">
        <v>104</v>
      </c>
      <c r="D28">
        <f t="shared" ref="D28:D30" si="1">D25-D19</f>
        <v>2445.6987</v>
      </c>
    </row>
    <row r="29" spans="4:4">
      <c r="D29">
        <f t="shared" si="1"/>
        <v>2449.92642201958</v>
      </c>
    </row>
    <row r="30" spans="4:4">
      <c r="D30">
        <f t="shared" si="1"/>
        <v>2447.21987017205</v>
      </c>
    </row>
    <row r="31" spans="3:4">
      <c r="C31" t="s">
        <v>108</v>
      </c>
      <c r="D31">
        <f t="array" ref="D31:D33">lapack_dgesv(D22:F24,D28:D30)</f>
        <v>1.02308887589759</v>
      </c>
    </row>
    <row r="32" spans="4:4">
      <c r="D32">
        <v>4482.16184964096</v>
      </c>
    </row>
    <row r="33" spans="4:4">
      <c r="D33">
        <v>-0.0353628040650833</v>
      </c>
    </row>
    <row r="34" spans="3:7">
      <c r="C34" t="s">
        <v>101</v>
      </c>
      <c r="D34">
        <f>D31*D32-D$13</f>
        <v>2239.95122834025</v>
      </c>
      <c r="G34">
        <f>SQRT(D34^2+D35^2+D36^2)</f>
        <v>3986.11555774152</v>
      </c>
    </row>
    <row r="35" spans="4:7">
      <c r="D35">
        <f>D31*SQRT(D32^2+2*D$12*D32*COS(D33)+D$12^2)-D$14</f>
        <v>2402.55088433687</v>
      </c>
      <c r="G35">
        <f>G34/G19</f>
        <v>1.04770258108542</v>
      </c>
    </row>
    <row r="36" spans="4:4">
      <c r="D36">
        <f>D31*SQRT(D32^2+2*D$12*D32*SIN(D33)+D$12^2)-D$15</f>
        <v>2258.20392845689</v>
      </c>
    </row>
    <row r="37" spans="3:6">
      <c r="C37" t="s">
        <v>102</v>
      </c>
      <c r="D37">
        <f>D32</f>
        <v>4482.16184964096</v>
      </c>
      <c r="E37">
        <f>D31</f>
        <v>1.02308887589759</v>
      </c>
      <c r="F37">
        <f>0</f>
        <v>0</v>
      </c>
    </row>
    <row r="38" spans="4:6">
      <c r="D38">
        <f>SQRT(D32^2+2*D$12*D32*COS(D33)+D$12^2)</f>
        <v>4682.04214946328</v>
      </c>
      <c r="E38">
        <f>D31*(D32+D$12*COS(D33))/D38</f>
        <v>1.02308770912742</v>
      </c>
      <c r="F38">
        <f>-D$12*D31*D32*SIN(D33)/D38</f>
        <v>6.92550980804878</v>
      </c>
    </row>
    <row r="39" spans="4:6">
      <c r="D39">
        <f>SQRT(D32^2+2*D$12*D32*SIN(D33)+D$12^2)</f>
        <v>4479.55213554911</v>
      </c>
      <c r="E39">
        <f>D31*(D32+D$12*SIN(D33))/D39</f>
        <v>1.02206993902973</v>
      </c>
      <c r="F39">
        <f>D$12*D31*D32*COS(D33)/D39</f>
        <v>204.608980846236</v>
      </c>
    </row>
    <row r="40" spans="3:4">
      <c r="C40" t="s">
        <v>103</v>
      </c>
      <c r="D40">
        <f t="array" ref="D40">SUMPRODUCT(D31:D33,TRANSPOSE(D37:F37))</f>
        <v>9171.29985668049</v>
      </c>
    </row>
    <row r="41" spans="4:4">
      <c r="D41">
        <f t="array" ref="D41">SUMPRODUCT(D31:D33,TRANSPOSE(D38:F38))</f>
        <v>9375.54503284065</v>
      </c>
    </row>
    <row r="42" spans="4:4">
      <c r="D42">
        <f t="array" ref="D42">SUMPRODUCT(D31:D33,TRANSPOSE(D39:F39))</f>
        <v>9156.82729996789</v>
      </c>
    </row>
    <row r="43" spans="3:4">
      <c r="C43" t="s">
        <v>104</v>
      </c>
      <c r="D43">
        <f t="shared" ref="D43:D45" si="2">D40-D34</f>
        <v>6931.34862834025</v>
      </c>
    </row>
    <row r="44" spans="4:4">
      <c r="D44">
        <f t="shared" si="2"/>
        <v>6972.99414850378</v>
      </c>
    </row>
    <row r="45" spans="4:4">
      <c r="D45">
        <f t="shared" si="2"/>
        <v>6898.623371511</v>
      </c>
    </row>
    <row r="46" spans="3:4">
      <c r="C46" t="s">
        <v>108</v>
      </c>
      <c r="D46">
        <f t="array" ref="D46:D48">lapack_dgesv(D37:F39,D43:D45)</f>
        <v>0.212825910463465</v>
      </c>
    </row>
    <row r="47" spans="4:4">
      <c r="D47">
        <v>5842.53097914058</v>
      </c>
    </row>
    <row r="48" spans="4:4">
      <c r="D48">
        <v>-0.128130601730657</v>
      </c>
    </row>
    <row r="49" spans="3:7">
      <c r="C49" t="s">
        <v>101</v>
      </c>
      <c r="D49">
        <f>D46*D47-D$13</f>
        <v>-1102.2567249534</v>
      </c>
      <c r="G49">
        <f>SQRT(D49^2+D50^2+D51^2)</f>
        <v>1899.6630972759</v>
      </c>
    </row>
    <row r="50" spans="4:7">
      <c r="D50">
        <f>D46*SQRT(D47^2+2*D$12*D47*COS(D48)+D$12^2)-D$14</f>
        <v>-1101.92462144773</v>
      </c>
      <c r="G50">
        <f>G49/G34</f>
        <v>0.476570001485913</v>
      </c>
    </row>
    <row r="51" spans="4:4">
      <c r="D51">
        <f>D46*SQRT(D47^2+2*D$12*D47*SIN(D48)+D$12^2)-D$15</f>
        <v>-1086.05346281577</v>
      </c>
    </row>
    <row r="52" spans="3:6">
      <c r="C52" t="s">
        <v>102</v>
      </c>
      <c r="D52">
        <f>D47</f>
        <v>5842.53097914058</v>
      </c>
      <c r="E52">
        <f>D46</f>
        <v>0.212825910463465</v>
      </c>
      <c r="F52">
        <f>0</f>
        <v>0</v>
      </c>
    </row>
    <row r="53" spans="4:6">
      <c r="D53">
        <f>SQRT(D47^2+2*D$12*D47*COS(D48)+D$12^2)</f>
        <v>6040.94553626093</v>
      </c>
      <c r="E53">
        <f>D46*(D47+D$12*COS(D48))/D53</f>
        <v>0.21282400599249</v>
      </c>
      <c r="F53">
        <f>-D$12*D46*D47*SIN(D48)/D53</f>
        <v>5.260348038847</v>
      </c>
    </row>
    <row r="54" spans="4:6">
      <c r="D54">
        <f>SQRT(D47^2+2*D$12*D47*SIN(D48)+D$12^2)</f>
        <v>5820.35601263678</v>
      </c>
      <c r="E54">
        <f>D46*(D47+D$12*SIN(D48))/D54</f>
        <v>0.212702278162218</v>
      </c>
      <c r="F54">
        <f>D$12*D46*D47*COS(D48)/D54</f>
        <v>42.3770936118069</v>
      </c>
    </row>
    <row r="55" spans="3:4">
      <c r="C55" t="s">
        <v>103</v>
      </c>
      <c r="D55">
        <f t="array" ref="D55">SUMPRODUCT(D46:D48,TRANSPOSE(D52:F52))</f>
        <v>2486.88395009319</v>
      </c>
    </row>
    <row r="56" spans="4:4">
      <c r="D56">
        <f t="array" ref="D56">SUMPRODUCT(D46:D48,TRANSPOSE(D53:F53))</f>
        <v>2528.42657037134</v>
      </c>
    </row>
    <row r="57" spans="4:4">
      <c r="D57">
        <f t="array" ref="D57">SUMPRODUCT(D46:D48,TRANSPOSE(D54:F54))</f>
        <v>2476.01241460339</v>
      </c>
    </row>
    <row r="58" spans="3:4">
      <c r="C58" t="s">
        <v>104</v>
      </c>
      <c r="D58">
        <f t="shared" ref="D58:D60" si="3">D55-D49</f>
        <v>3589.1406750466</v>
      </c>
    </row>
    <row r="59" spans="4:4">
      <c r="D59">
        <f t="shared" si="3"/>
        <v>3630.35119181907</v>
      </c>
    </row>
    <row r="60" spans="4:4">
      <c r="D60">
        <f t="shared" si="3"/>
        <v>3562.06587741916</v>
      </c>
    </row>
    <row r="61" spans="3:4">
      <c r="C61" t="s">
        <v>108</v>
      </c>
      <c r="D61">
        <f t="array" ref="D61:D63">lapack_dgesv(D52:F54,D58:D60)</f>
        <v>0.220842012129184</v>
      </c>
    </row>
    <row r="62" spans="4:4">
      <c r="D62">
        <v>10801.6189038258</v>
      </c>
    </row>
    <row r="63" spans="4:4">
      <c r="D63">
        <v>-0.491827131763379</v>
      </c>
    </row>
    <row r="64" spans="3:7">
      <c r="C64" t="s">
        <v>101</v>
      </c>
      <c r="D64">
        <f>D61*D62-D$13</f>
        <v>39.7525529735153</v>
      </c>
      <c r="G64">
        <f>SQRT(D64^2+D65^2+D66^2)</f>
        <v>67.4642506810211</v>
      </c>
    </row>
    <row r="65" spans="4:7">
      <c r="D65">
        <f>D61*SQRT(D62^2+2*D$12*D62*COS(D63)+D$12^2)-D$14</f>
        <v>36.8798083543129</v>
      </c>
      <c r="G65">
        <f>G64/G49</f>
        <v>0.0355137975664023</v>
      </c>
    </row>
    <row r="66" spans="4:4">
      <c r="D66">
        <f>D61*SQRT(D62^2+2*D$12*D62*SIN(D63)+D$12^2)-D$15</f>
        <v>40.1377551413711</v>
      </c>
    </row>
    <row r="67" spans="3:6">
      <c r="C67" t="s">
        <v>102</v>
      </c>
      <c r="D67">
        <f>D62</f>
        <v>10801.6189038258</v>
      </c>
      <c r="E67">
        <f>D61</f>
        <v>0.220842012129184</v>
      </c>
      <c r="F67">
        <f>0</f>
        <v>0</v>
      </c>
    </row>
    <row r="68" spans="4:6">
      <c r="D68">
        <f>SQRT(D62^2+2*D$12*D62*COS(D63)+D$12^2)</f>
        <v>10978.3194793514</v>
      </c>
      <c r="E68">
        <f>D61*(D62+D$12*COS(D63))/D68</f>
        <v>0.220833839374536</v>
      </c>
      <c r="F68">
        <f>-D$12*D61*D62*SIN(D63)/D68</f>
        <v>20.5222469286706</v>
      </c>
    </row>
    <row r="69" spans="4:6">
      <c r="D69">
        <f>SQRT(D62^2+2*D$12*D62*SIN(D63)+D$12^2)</f>
        <v>10708.6227061936</v>
      </c>
      <c r="E69">
        <f>D61*(D62+D$12*SIN(D63))/D69</f>
        <v>0.220812083251836</v>
      </c>
      <c r="F69">
        <f>D$12*D61*D62*COS(D63)/D69</f>
        <v>39.2712924872834</v>
      </c>
    </row>
    <row r="70" spans="3:4">
      <c r="C70" t="s">
        <v>103</v>
      </c>
      <c r="D70">
        <f t="array" ref="D70">SUMPRODUCT(D61:D63,TRANSPOSE(D67:F67))</f>
        <v>4770.90250594703</v>
      </c>
    </row>
    <row r="71" spans="4:4">
      <c r="D71">
        <f t="array" ref="D71">SUMPRODUCT(D61:D63,TRANSPOSE(D68:F68))</f>
        <v>4799.74373976512</v>
      </c>
    </row>
    <row r="72" spans="4:4">
      <c r="D72">
        <f t="array" ref="D72">SUMPRODUCT(D61:D63,TRANSPOSE(D69:F69))</f>
        <v>4730.72707106959</v>
      </c>
    </row>
    <row r="73" spans="3:4">
      <c r="C73" t="s">
        <v>104</v>
      </c>
      <c r="D73">
        <f t="shared" ref="D73:D75" si="4">D70-D64</f>
        <v>4731.14995297352</v>
      </c>
    </row>
    <row r="74" spans="4:4">
      <c r="D74">
        <f t="shared" si="4"/>
        <v>4762.86393141081</v>
      </c>
    </row>
    <row r="75" spans="4:4">
      <c r="D75">
        <f t="shared" si="4"/>
        <v>4690.58931592822</v>
      </c>
    </row>
    <row r="76" spans="3:4">
      <c r="C76" t="s">
        <v>108</v>
      </c>
      <c r="D76">
        <f t="array" ref="D76:D78">lapack_dgesv(D67:F69,D73:D75)</f>
        <v>0.234514470221448</v>
      </c>
    </row>
    <row r="77" spans="4:4">
      <c r="D77">
        <v>9952.87987560576</v>
      </c>
    </row>
    <row r="78" spans="4:4">
      <c r="D78">
        <v>-0.469905708092082</v>
      </c>
    </row>
    <row r="79" spans="3:7">
      <c r="C79" t="s">
        <v>101</v>
      </c>
      <c r="D79">
        <f>D76*D77-D$13</f>
        <v>-11.6043487946054</v>
      </c>
      <c r="G79">
        <f>SQRT(D79^2+D80^2+D81^2)</f>
        <v>20.0523940081265</v>
      </c>
    </row>
    <row r="80" spans="4:7">
      <c r="D80">
        <f>D76*SQRT(D77^2+2*D$12*D77*COS(D78)+D$12^2)-D$14</f>
        <v>-11.5859506991078</v>
      </c>
      <c r="G80">
        <f>G79/G64</f>
        <v>0.297229922599104</v>
      </c>
    </row>
    <row r="81" spans="4:4">
      <c r="D81">
        <f>D76*SQRT(D77^2+2*D$12*D77*SIN(D78)+D$12^2)-D$15</f>
        <v>-11.541375174048</v>
      </c>
    </row>
    <row r="82" spans="3:6">
      <c r="C82" t="s">
        <v>102</v>
      </c>
      <c r="D82">
        <f>D77</f>
        <v>9952.87987560576</v>
      </c>
      <c r="E82">
        <f>D76</f>
        <v>0.234514470221448</v>
      </c>
      <c r="F82">
        <f>0</f>
        <v>0</v>
      </c>
    </row>
    <row r="83" spans="4:6">
      <c r="D83">
        <f>SQRT(D77^2+2*D$12*D77*COS(D78)+D$12^2)</f>
        <v>10131.6068143682</v>
      </c>
      <c r="E83">
        <f>D76*(D77+D$12*COS(D78))/D83</f>
        <v>0.234505101749789</v>
      </c>
      <c r="F83">
        <f>-D$12*D76*D77*SIN(D78)/D83</f>
        <v>20.863089403721</v>
      </c>
    </row>
    <row r="84" spans="4:6">
      <c r="D84">
        <f>SQRT(D77^2+2*D$12*D77*SIN(D78)+D$12^2)</f>
        <v>9863.93143701668</v>
      </c>
      <c r="E84">
        <f>D76*(D77+D$12*SIN(D78))/D84</f>
        <v>0.234476144894955</v>
      </c>
      <c r="F84">
        <f>D$12*D76*D77*COS(D78)/D84</f>
        <v>42.1962415950193</v>
      </c>
    </row>
    <row r="85" spans="3:4">
      <c r="C85" t="s">
        <v>103</v>
      </c>
      <c r="D85">
        <f t="array" ref="D85">SUMPRODUCT(D76:D78,TRANSPOSE(D82:F82))</f>
        <v>4668.18870241079</v>
      </c>
    </row>
    <row r="86" spans="4:4">
      <c r="D86">
        <f t="array" ref="D86">SUMPRODUCT(D76:D78,TRANSPOSE(D83:F83))</f>
        <v>4700.20582769667</v>
      </c>
    </row>
    <row r="87" spans="4:4">
      <c r="D87">
        <f t="array" ref="D87">SUMPRODUCT(D76:D78,TRANSPOSE(D84:F84))</f>
        <v>4627.11930430173</v>
      </c>
    </row>
    <row r="88" spans="3:4">
      <c r="C88" t="s">
        <v>104</v>
      </c>
      <c r="D88">
        <f t="shared" ref="D88:D90" si="5">D85-D79</f>
        <v>4679.79305120539</v>
      </c>
    </row>
    <row r="89" spans="4:4">
      <c r="D89">
        <f t="shared" si="5"/>
        <v>4711.79177839578</v>
      </c>
    </row>
    <row r="90" spans="4:4">
      <c r="D90">
        <f t="shared" si="5"/>
        <v>4638.66067947578</v>
      </c>
    </row>
    <row r="91" spans="3:4">
      <c r="C91" t="s">
        <v>108</v>
      </c>
      <c r="D91">
        <f t="array" ref="D91:D93">lapack_dgesv(D82:F84,D88:D90)</f>
        <v>0.234569638578887</v>
      </c>
    </row>
    <row r="92" spans="4:4">
      <c r="D92">
        <v>10000.0209528691</v>
      </c>
    </row>
    <row r="93" spans="4:4">
      <c r="D93">
        <v>-0.471238997077083</v>
      </c>
    </row>
    <row r="94" spans="3:7">
      <c r="C94" t="s">
        <v>101</v>
      </c>
      <c r="D94">
        <f>D91*D92-D$13</f>
        <v>0.00260069580099298</v>
      </c>
      <c r="G94">
        <f>SQRT(D94^2+D95^2+D96^2)</f>
        <v>0.00448862141715718</v>
      </c>
    </row>
    <row r="95" spans="4:7">
      <c r="D95">
        <f>D91*SQRT(D92^2+2*D$12*D92*COS(D93)+D$12^2)-D$14</f>
        <v>0.00255709462089726</v>
      </c>
      <c r="G95">
        <f>G94/G79</f>
        <v>0.000223844664898272</v>
      </c>
    </row>
    <row r="96" spans="4:4">
      <c r="D96">
        <f>D91*SQRT(D92^2+2*D$12*D92*SIN(D93)+D$12^2)-D$15</f>
        <v>0.00261636592949799</v>
      </c>
    </row>
    <row r="97" spans="3:6">
      <c r="C97" t="s">
        <v>102</v>
      </c>
      <c r="D97">
        <f>D92</f>
        <v>10000.0209528691</v>
      </c>
      <c r="E97">
        <f>D91</f>
        <v>0.234569638578887</v>
      </c>
      <c r="F97">
        <f>0</f>
        <v>0</v>
      </c>
    </row>
    <row r="98" spans="4:6">
      <c r="D98">
        <f>SQRT(D92^2+2*D$12*D92*COS(D93)+D$12^2)</f>
        <v>10178.6272376181</v>
      </c>
      <c r="E98">
        <f>D91*(D92+D$12*COS(D93))/D98</f>
        <v>0.234560305483315</v>
      </c>
      <c r="F98">
        <f>-D$12*D91*D92*SIN(D93)/D98</f>
        <v>20.9247531690919</v>
      </c>
    </row>
    <row r="99" spans="4:6">
      <c r="D99">
        <f>SQRT(D92^2+2*D$12*D92*SIN(D93)+D$12^2)</f>
        <v>9910.82503633901</v>
      </c>
      <c r="E99">
        <f>D91*(D92+D$12*SIN(D93))/D99</f>
        <v>0.234531717646598</v>
      </c>
      <c r="F99">
        <f>D$12*D91*D92*COS(D93)/D99</f>
        <v>42.1768127191221</v>
      </c>
    </row>
    <row r="100" spans="3:4">
      <c r="C100" t="s">
        <v>103</v>
      </c>
      <c r="D100">
        <f t="array" ref="D100">SUMPRODUCT(D91:D93,TRANSPOSE(D97:F97))</f>
        <v>4691.4026013916</v>
      </c>
    </row>
    <row r="101" spans="4:4">
      <c r="D101">
        <f t="array" ref="D101">SUMPRODUCT(D91:D93,TRANSPOSE(D98:F98))</f>
        <v>4723.34432220433</v>
      </c>
    </row>
    <row r="102" spans="4:4">
      <c r="D102">
        <f t="array" ref="D102">SUMPRODUCT(D91:D93,TRANSPOSE(D99:F99))</f>
        <v>4650.22537844532</v>
      </c>
    </row>
    <row r="103" spans="3:4">
      <c r="C103" t="s">
        <v>104</v>
      </c>
      <c r="D103">
        <f t="shared" ref="D103:D105" si="6">D100-D94</f>
        <v>4691.4000006958</v>
      </c>
    </row>
    <row r="104" spans="4:4">
      <c r="D104">
        <f t="shared" si="6"/>
        <v>4723.34176510971</v>
      </c>
    </row>
    <row r="105" spans="4:4">
      <c r="D105">
        <f t="shared" si="6"/>
        <v>4650.22276207939</v>
      </c>
    </row>
    <row r="106" spans="3:4">
      <c r="C106" t="s">
        <v>108</v>
      </c>
      <c r="D106">
        <f t="array" ref="D106:D108">lapack_dgesv(D97:F99,D103:D105)</f>
        <v>0.234569869999995</v>
      </c>
    </row>
    <row r="107" spans="4:4">
      <c r="D107">
        <v>9999.99999997954</v>
      </c>
    </row>
    <row r="108" spans="4:4">
      <c r="D108">
        <v>-0.471238898038384</v>
      </c>
    </row>
    <row r="109" spans="3:7">
      <c r="C109" t="s">
        <v>101</v>
      </c>
      <c r="D109">
        <f>D106*D107-D$13</f>
        <v>-4.84806150780059e-9</v>
      </c>
      <c r="G109">
        <f>SQRT(D109^2+D110^2+D111^2)</f>
        <v>8.39183958816127e-9</v>
      </c>
    </row>
    <row r="110" spans="4:7">
      <c r="D110">
        <f>D106*SQRT(D107^2+2*D$12*D107*COS(D108)+D$12^2)-D$14</f>
        <v>-4.84624251839705e-9</v>
      </c>
      <c r="G110">
        <f>G109/G94</f>
        <v>1.8695806146815e-6</v>
      </c>
    </row>
    <row r="111" spans="4:4">
      <c r="D111">
        <f>D106*SQRT(D107^2+2*D$12*D107*SIN(D108)+D$12^2)-D$15</f>
        <v>-4.84078555018641e-9</v>
      </c>
    </row>
    <row r="112" spans="3:6">
      <c r="C112" t="s">
        <v>102</v>
      </c>
      <c r="D112">
        <f>D107</f>
        <v>9999.99999997954</v>
      </c>
      <c r="E112">
        <f>D106</f>
        <v>0.234569869999995</v>
      </c>
      <c r="F112">
        <f>0</f>
        <v>0</v>
      </c>
    </row>
    <row r="113" spans="4:6">
      <c r="D113">
        <f>SQRT(D107^2+2*D$12*D107*COS(D108)+D$12^2)</f>
        <v>10178.6062943969</v>
      </c>
      <c r="E113">
        <f>D106*(D107+D$12*COS(D108))/D113</f>
        <v>0.234560536860435</v>
      </c>
      <c r="F113">
        <f>-D$12*D106*D107*SIN(D108)/D113</f>
        <v>20.9247689565366</v>
      </c>
    </row>
    <row r="114" spans="4:6">
      <c r="D114">
        <f>SQRT(D107^2+2*D$12*D107*SIN(D108)+D$12^2)</f>
        <v>9910.80410464442</v>
      </c>
      <c r="E114">
        <f>D106*(D107+D$12*SIN(D108))/D114</f>
        <v>0.234531948866274</v>
      </c>
      <c r="F114">
        <f>D$12*D106*D107*COS(D108)/D114</f>
        <v>42.1768571633155</v>
      </c>
    </row>
    <row r="115" spans="3:4">
      <c r="C115" t="s">
        <v>103</v>
      </c>
      <c r="D115">
        <f t="array" ref="D115">SUMPRODUCT(D106:D108,TRANSPOSE(D112:F112))</f>
        <v>4691.3973999903</v>
      </c>
    </row>
    <row r="116" spans="4:4">
      <c r="D116">
        <f t="array" ref="D116">SUMPRODUCT(D106:D108,TRANSPOSE(D113:F113))</f>
        <v>4723.33915879259</v>
      </c>
    </row>
    <row r="117" spans="4:4">
      <c r="D117">
        <f t="array" ref="D117">SUMPRODUCT(D106:D108,TRANSPOSE(D114:F114))</f>
        <v>4650.22014338744</v>
      </c>
    </row>
    <row r="118" spans="3:4">
      <c r="C118" t="s">
        <v>104</v>
      </c>
      <c r="D118">
        <f t="shared" ref="D118:D120" si="7">D115-D109</f>
        <v>4691.39739999515</v>
      </c>
    </row>
    <row r="119" spans="4:4">
      <c r="D119">
        <f t="shared" si="7"/>
        <v>4723.33915879744</v>
      </c>
    </row>
    <row r="120" spans="4:4">
      <c r="D120">
        <f t="shared" si="7"/>
        <v>4650.22014339228</v>
      </c>
    </row>
    <row r="121" spans="3:4">
      <c r="C121" t="s">
        <v>108</v>
      </c>
      <c r="D121">
        <f t="array" ref="D121:D123">lapack_dgesv(D112:F114,D118:D120)</f>
        <v>0.234569870000004</v>
      </c>
    </row>
    <row r="122" spans="4:4">
      <c r="D122">
        <v>9999.99999999985</v>
      </c>
    </row>
    <row r="123" spans="4:4">
      <c r="D123">
        <v>-0.471238898038548</v>
      </c>
    </row>
    <row r="124" spans="3:7">
      <c r="C124" t="s">
        <v>101</v>
      </c>
      <c r="D124">
        <f>D121*D122-D$13</f>
        <v>0</v>
      </c>
      <c r="G124">
        <f>SQRT(D124^2+D125^2+D126^2)</f>
        <v>0</v>
      </c>
    </row>
    <row r="125" spans="4:7">
      <c r="D125">
        <f>D121*SQRT(D122^2+2*D$12*D122*COS(D123)+D$12^2)-D$14</f>
        <v>0</v>
      </c>
      <c r="G125">
        <f>G124/G109</f>
        <v>0</v>
      </c>
    </row>
    <row r="126" spans="4:4">
      <c r="D126">
        <f>D121*SQRT(D122^2+2*D$12*D122*SIN(D123)+D$12^2)-D$15</f>
        <v>0</v>
      </c>
    </row>
    <row r="127" spans="3:6">
      <c r="C127" t="s">
        <v>102</v>
      </c>
      <c r="D127">
        <f>D122</f>
        <v>9999.99999999985</v>
      </c>
      <c r="E127">
        <f>D121</f>
        <v>0.234569870000004</v>
      </c>
      <c r="F127">
        <f>0</f>
        <v>0</v>
      </c>
    </row>
    <row r="128" spans="4:6">
      <c r="D128">
        <f>SQRT(D122^2+2*D$12*D122*COS(D123)+D$12^2)</f>
        <v>10178.6062944172</v>
      </c>
      <c r="E128">
        <f>D121*(D122+D$12*COS(D123))/D128</f>
        <v>0.234560536860444</v>
      </c>
      <c r="F128">
        <f>-D$12*D121*D122*SIN(D123)/D128</f>
        <v>20.9247689565449</v>
      </c>
    </row>
    <row r="129" spans="4:6">
      <c r="D129">
        <f>SQRT(D122^2+2*D$12*D122*SIN(D123)+D$12^2)</f>
        <v>9910.80410466469</v>
      </c>
      <c r="E129">
        <f>D121*(D122+D$12*SIN(D123))/D129</f>
        <v>0.234531948866283</v>
      </c>
      <c r="F129">
        <f>D$12*D121*D122*COS(D123)/D129</f>
        <v>42.1768571633129</v>
      </c>
    </row>
    <row r="130" spans="3:4">
      <c r="C130" t="s">
        <v>103</v>
      </c>
      <c r="D130">
        <f t="array" ref="D130">SUMPRODUCT(D121:D123,TRANSPOSE(D127:F127))</f>
        <v>4691.3974</v>
      </c>
    </row>
    <row r="131" spans="4:4">
      <c r="D131">
        <f t="array" ref="D131">SUMPRODUCT(D121:D123,TRANSPOSE(D128:F128))</f>
        <v>4723.33915880228</v>
      </c>
    </row>
    <row r="132" spans="4:4">
      <c r="D132">
        <f t="array" ref="D132">SUMPRODUCT(D121:D123,TRANSPOSE(D129:F129))</f>
        <v>4650.22014339713</v>
      </c>
    </row>
    <row r="133" spans="3:4">
      <c r="C133" t="s">
        <v>104</v>
      </c>
      <c r="D133">
        <f t="shared" ref="D133:D135" si="8">D130-D124</f>
        <v>4691.3974</v>
      </c>
    </row>
    <row r="134" spans="4:4">
      <c r="D134">
        <f t="shared" si="8"/>
        <v>4723.33915880228</v>
      </c>
    </row>
    <row r="135" spans="4:4">
      <c r="D135">
        <f t="shared" si="8"/>
        <v>4650.22014339713</v>
      </c>
    </row>
    <row r="136" spans="3:4">
      <c r="C136" t="s">
        <v>108</v>
      </c>
      <c r="D136">
        <f t="array" ref="D136:D138">lapack_dgesv(D127:F129,D133:D135)</f>
        <v>0.234569870000005</v>
      </c>
    </row>
    <row r="137" spans="4:4">
      <c r="D137">
        <v>9999.99999999981</v>
      </c>
    </row>
    <row r="138" spans="4:4">
      <c r="D138">
        <v>-0.471238898038539</v>
      </c>
    </row>
    <row r="139" spans="3:7">
      <c r="C139" t="s">
        <v>101</v>
      </c>
      <c r="D139">
        <f>D136*D137-D$13</f>
        <v>0</v>
      </c>
      <c r="G139">
        <f>SQRT(D139^2+D140^2+D141^2)</f>
        <v>0</v>
      </c>
    </row>
    <row r="140" spans="4:7">
      <c r="D140">
        <f>D136*SQRT(D137^2+2*D$12*D137*COS(D138)+D$12^2)-D$14</f>
        <v>0</v>
      </c>
      <c r="G140" t="e">
        <f>G139/G124</f>
        <v>#DIV/0!</v>
      </c>
    </row>
    <row r="141" spans="4:4">
      <c r="D141">
        <f>D136*SQRT(D137^2+2*D$12*D137*SIN(D138)+D$12^2)-D$15</f>
        <v>0</v>
      </c>
    </row>
    <row r="142" spans="3:6">
      <c r="C142" t="s">
        <v>102</v>
      </c>
      <c r="D142">
        <f>D137</f>
        <v>9999.99999999981</v>
      </c>
      <c r="E142">
        <f>D136</f>
        <v>0.234569870000005</v>
      </c>
      <c r="F142">
        <f>0</f>
        <v>0</v>
      </c>
    </row>
    <row r="143" spans="4:6">
      <c r="D143">
        <f>SQRT(D137^2+2*D$12*D137*COS(D138)+D$12^2)</f>
        <v>10178.6062944172</v>
      </c>
      <c r="E143">
        <f>D136*(D137+D$12*COS(D138))/D143</f>
        <v>0.234560536860445</v>
      </c>
      <c r="F143">
        <f>-D$12*D136*D137*SIN(D138)/D143</f>
        <v>20.9247689565446</v>
      </c>
    </row>
    <row r="144" spans="4:6">
      <c r="D144">
        <f>SQRT(D137^2+2*D$12*D137*SIN(D138)+D$12^2)</f>
        <v>9910.80410466465</v>
      </c>
      <c r="E144">
        <f>D136*(D137+D$12*SIN(D138))/D144</f>
        <v>0.234531948866284</v>
      </c>
      <c r="F144">
        <f>D$12*D136*D137*COS(D138)/D144</f>
        <v>42.1768571633133</v>
      </c>
    </row>
    <row r="145" spans="3:4">
      <c r="C145" t="s">
        <v>103</v>
      </c>
      <c r="D145">
        <f t="array" ref="D145">SUMPRODUCT(D136:D138,TRANSPOSE(D142:F142))</f>
        <v>4691.3974</v>
      </c>
    </row>
    <row r="146" spans="4:4">
      <c r="D146">
        <f t="array" ref="D146">SUMPRODUCT(D136:D138,TRANSPOSE(D143:F143))</f>
        <v>4723.33915880228</v>
      </c>
    </row>
    <row r="147" spans="4:4">
      <c r="D147">
        <f t="array" ref="D147">SUMPRODUCT(D136:D138,TRANSPOSE(D144:F144))</f>
        <v>4650.22014339713</v>
      </c>
    </row>
    <row r="148" spans="3:4">
      <c r="C148" t="s">
        <v>104</v>
      </c>
      <c r="D148">
        <f t="shared" ref="D148:D150" si="9">D145-D139</f>
        <v>4691.3974</v>
      </c>
    </row>
    <row r="149" spans="4:4">
      <c r="D149">
        <f t="shared" si="9"/>
        <v>4723.33915880228</v>
      </c>
    </row>
    <row r="150" spans="4:4">
      <c r="D150">
        <f t="shared" si="9"/>
        <v>4650.22014339713</v>
      </c>
    </row>
    <row r="151" spans="3:4">
      <c r="C151" t="s">
        <v>108</v>
      </c>
      <c r="D151">
        <f t="array" ref="D151:D153">lapack_dgesv(D142:F144,D148:D150)</f>
        <v>0.234569870000006</v>
      </c>
    </row>
    <row r="152" spans="4:4">
      <c r="D152">
        <v>9999.99999999973</v>
      </c>
    </row>
    <row r="153" spans="4:4">
      <c r="D153">
        <v>-0.471238898038552</v>
      </c>
    </row>
    <row r="154" spans="3:7">
      <c r="C154" t="s">
        <v>101</v>
      </c>
      <c r="D154">
        <f>D151*D152-D$13</f>
        <v>0</v>
      </c>
      <c r="G154">
        <f>SQRT(D154^2+D155^2+D156^2)</f>
        <v>0</v>
      </c>
    </row>
    <row r="155" spans="4:7">
      <c r="D155">
        <f>D151*SQRT(D152^2+2*D$12*D152*COS(D153)+D$12^2)-D$14</f>
        <v>0</v>
      </c>
      <c r="G155" t="e">
        <f>G154/G139</f>
        <v>#DIV/0!</v>
      </c>
    </row>
    <row r="156" spans="4:4">
      <c r="D156">
        <f>D151*SQRT(D152^2+2*D$12*D152*SIN(D153)+D$12^2)-D$15</f>
        <v>0</v>
      </c>
    </row>
    <row r="157" spans="3:6">
      <c r="C157" t="s">
        <v>102</v>
      </c>
      <c r="D157">
        <f>D152</f>
        <v>9999.99999999973</v>
      </c>
      <c r="E157">
        <f>D151</f>
        <v>0.234569870000006</v>
      </c>
      <c r="F157">
        <f>0</f>
        <v>0</v>
      </c>
    </row>
    <row r="158" spans="4:6">
      <c r="D158">
        <f>SQRT(D152^2+2*D$12*D152*COS(D153)+D$12^2)</f>
        <v>10178.6062944171</v>
      </c>
      <c r="E158">
        <f>D151*(D152+D$12*COS(D153))/D158</f>
        <v>0.234560536860447</v>
      </c>
      <c r="F158">
        <f>-D$12*D151*D152*SIN(D153)/D158</f>
        <v>20.9247689565453</v>
      </c>
    </row>
    <row r="159" spans="4:6">
      <c r="D159">
        <f>SQRT(D152^2+2*D$12*D152*SIN(D153)+D$12^2)</f>
        <v>9910.80410466457</v>
      </c>
      <c r="E159">
        <f>D151*(D152+D$12*SIN(D153))/D159</f>
        <v>0.234531948866286</v>
      </c>
      <c r="F159">
        <f>D$12*D151*D152*COS(D153)/D159</f>
        <v>42.1768571633133</v>
      </c>
    </row>
    <row r="160" spans="3:4">
      <c r="C160" t="s">
        <v>103</v>
      </c>
      <c r="D160">
        <f t="array" ref="D160">SUMPRODUCT(D151:D153,TRANSPOSE(D157:F157))</f>
        <v>4691.3974</v>
      </c>
    </row>
    <row r="161" spans="4:4">
      <c r="D161">
        <f t="array" ref="D161">SUMPRODUCT(D151:D153,TRANSPOSE(D158:F158))</f>
        <v>4723.33915880228</v>
      </c>
    </row>
    <row r="162" spans="4:4">
      <c r="D162">
        <f t="array" ref="D162">SUMPRODUCT(D151:D153,TRANSPOSE(D159:F159))</f>
        <v>4650.22014339713</v>
      </c>
    </row>
    <row r="163" spans="3:4">
      <c r="C163" t="s">
        <v>104</v>
      </c>
      <c r="D163">
        <f t="shared" ref="D163:D165" si="10">D160-D154</f>
        <v>4691.3974</v>
      </c>
    </row>
    <row r="164" spans="4:4">
      <c r="D164">
        <f t="shared" si="10"/>
        <v>4723.33915880228</v>
      </c>
    </row>
    <row r="165" spans="4:4">
      <c r="D165">
        <f t="shared" si="10"/>
        <v>4650.22014339713</v>
      </c>
    </row>
    <row r="166" spans="3:4">
      <c r="C166" t="s">
        <v>108</v>
      </c>
      <c r="D166">
        <f t="array" ref="D166:D168">lapack_dgesv(D157:F159,D163:D165)</f>
        <v>0.234569870000007</v>
      </c>
    </row>
    <row r="167" spans="4:4">
      <c r="D167">
        <v>9999.99999999971</v>
      </c>
    </row>
    <row r="168" spans="4:4">
      <c r="D168">
        <v>-0.471238898038536</v>
      </c>
    </row>
    <row r="169" spans="3:7">
      <c r="C169" t="s">
        <v>101</v>
      </c>
      <c r="D169">
        <f>D166*D167-D$13</f>
        <v>0</v>
      </c>
      <c r="G169">
        <f>SQRT(D169^2+D170^2+D171^2)</f>
        <v>0</v>
      </c>
    </row>
    <row r="170" spans="4:7">
      <c r="D170">
        <f>D166*SQRT(D167^2+2*D$12*D167*COS(D168)+D$12^2)-D$14</f>
        <v>0</v>
      </c>
      <c r="G170" t="e">
        <f>G169/G154</f>
        <v>#DIV/0!</v>
      </c>
    </row>
    <row r="171" spans="4:4">
      <c r="D171">
        <f>D166*SQRT(D167^2+2*D$12*D167*SIN(D168)+D$12^2)-D$15</f>
        <v>0</v>
      </c>
    </row>
    <row r="172" spans="3:6">
      <c r="C172" t="s">
        <v>102</v>
      </c>
      <c r="D172">
        <f>D167</f>
        <v>9999.99999999971</v>
      </c>
      <c r="E172">
        <f>D166</f>
        <v>0.234569870000007</v>
      </c>
      <c r="F172">
        <f>0</f>
        <v>0</v>
      </c>
    </row>
    <row r="173" spans="4:6">
      <c r="D173">
        <f>SQRT(D167^2+2*D$12*D167*COS(D168)+D$12^2)</f>
        <v>10178.6062944171</v>
      </c>
      <c r="E173">
        <f>D166*(D167+D$12*COS(D168))/D173</f>
        <v>0.234560536860447</v>
      </c>
      <c r="F173">
        <f>-D$12*D166*D167*SIN(D168)/D173</f>
        <v>20.9247689565446</v>
      </c>
    </row>
    <row r="174" spans="4:6">
      <c r="D174">
        <f>SQRT(D167^2+2*D$12*D167*SIN(D168)+D$12^2)</f>
        <v>9910.80410466456</v>
      </c>
      <c r="E174">
        <f>D166*(D167+D$12*SIN(D168))/D174</f>
        <v>0.234531948866286</v>
      </c>
      <c r="F174">
        <f>D$12*D166*D167*COS(D168)/D174</f>
        <v>42.1768571633137</v>
      </c>
    </row>
    <row r="175" spans="3:4">
      <c r="C175" t="s">
        <v>103</v>
      </c>
      <c r="D175">
        <f t="array" ref="D175">SUMPRODUCT(D166:D168,TRANSPOSE(D172:F172))</f>
        <v>4691.3974</v>
      </c>
    </row>
    <row r="176" spans="4:4">
      <c r="D176">
        <f t="array" ref="D176">SUMPRODUCT(D166:D168,TRANSPOSE(D173:F173))</f>
        <v>4723.33915880228</v>
      </c>
    </row>
    <row r="177" spans="4:4">
      <c r="D177">
        <f t="array" ref="D177">SUMPRODUCT(D166:D168,TRANSPOSE(D174:F174))</f>
        <v>4650.22014339713</v>
      </c>
    </row>
    <row r="178" spans="3:4">
      <c r="C178" t="s">
        <v>104</v>
      </c>
      <c r="D178">
        <f t="shared" ref="D178:D180" si="11">D175-D169</f>
        <v>4691.3974</v>
      </c>
    </row>
    <row r="179" spans="4:4">
      <c r="D179">
        <f t="shared" si="11"/>
        <v>4723.33915880228</v>
      </c>
    </row>
    <row r="180" spans="4:4">
      <c r="D180">
        <f t="shared" si="11"/>
        <v>4650.22014339713</v>
      </c>
    </row>
    <row r="181" spans="3:4">
      <c r="C181" t="s">
        <v>108</v>
      </c>
      <c r="D181">
        <f t="array" ref="D181:D183">lapack_dgesv(D172:F174,D178:D180)</f>
        <v>0.234569870000004</v>
      </c>
    </row>
    <row r="182" spans="4:4">
      <c r="D182">
        <v>9999.99999999982</v>
      </c>
    </row>
    <row r="183" spans="4:4">
      <c r="D183">
        <v>-0.471238898038534</v>
      </c>
    </row>
    <row r="184" spans="3:7">
      <c r="C184" t="s">
        <v>101</v>
      </c>
      <c r="D184">
        <f>D181*D182-D$13</f>
        <v>0</v>
      </c>
      <c r="G184">
        <f>SQRT(D184^2+D185^2+D186^2)</f>
        <v>0</v>
      </c>
    </row>
    <row r="185" spans="4:7">
      <c r="D185">
        <f>D181*SQRT(D182^2+2*D$12*D182*COS(D183)+D$12^2)-D$14</f>
        <v>0</v>
      </c>
      <c r="G185" t="e">
        <f>G184/G169</f>
        <v>#DIV/0!</v>
      </c>
    </row>
    <row r="186" spans="4:4">
      <c r="D186">
        <f>D181*SQRT(D182^2+2*D$12*D182*SIN(D183)+D$12^2)-D$15</f>
        <v>0</v>
      </c>
    </row>
    <row r="187" spans="3:6">
      <c r="C187" t="s">
        <v>102</v>
      </c>
      <c r="D187">
        <f>D182</f>
        <v>9999.99999999982</v>
      </c>
      <c r="E187">
        <f>D181</f>
        <v>0.234569870000004</v>
      </c>
      <c r="F187">
        <f>0</f>
        <v>0</v>
      </c>
    </row>
    <row r="188" spans="4:6">
      <c r="D188">
        <f>SQRT(D182^2+2*D$12*D182*COS(D183)+D$12^2)</f>
        <v>10178.6062944172</v>
      </c>
      <c r="E188">
        <f>D181*(D182+D$12*COS(D183))/D188</f>
        <v>0.234560536860445</v>
      </c>
      <c r="F188">
        <f>-D$12*D181*D182*SIN(D183)/D188</f>
        <v>20.9247689565444</v>
      </c>
    </row>
    <row r="189" spans="4:6">
      <c r="D189">
        <f>SQRT(D182^2+2*D$12*D182*SIN(D183)+D$12^2)</f>
        <v>9910.80410466467</v>
      </c>
      <c r="E189">
        <f>D181*(D182+D$12*SIN(D183))/D189</f>
        <v>0.234531948866284</v>
      </c>
      <c r="F189">
        <f>D$12*D181*D182*COS(D183)/D189</f>
        <v>42.1768571633133</v>
      </c>
    </row>
    <row r="190" spans="3:4">
      <c r="C190" t="s">
        <v>103</v>
      </c>
      <c r="D190">
        <f t="array" ref="D190">SUMPRODUCT(D181:D183,TRANSPOSE(D187:F187))</f>
        <v>4691.3974</v>
      </c>
    </row>
    <row r="191" spans="4:4">
      <c r="D191">
        <f t="array" ref="D191">SUMPRODUCT(D181:D183,TRANSPOSE(D188:F188))</f>
        <v>4723.33915880228</v>
      </c>
    </row>
    <row r="192" spans="4:4">
      <c r="D192">
        <f t="array" ref="D192">SUMPRODUCT(D181:D183,TRANSPOSE(D189:F189))</f>
        <v>4650.22014339713</v>
      </c>
    </row>
    <row r="193" spans="3:4">
      <c r="C193" t="s">
        <v>104</v>
      </c>
      <c r="D193">
        <f t="shared" ref="D193:D195" si="12">D190-D184</f>
        <v>4691.3974</v>
      </c>
    </row>
    <row r="194" spans="4:4">
      <c r="D194">
        <f t="shared" si="12"/>
        <v>4723.33915880228</v>
      </c>
    </row>
    <row r="195" spans="4:4">
      <c r="D195">
        <f t="shared" si="12"/>
        <v>4650.22014339713</v>
      </c>
    </row>
    <row r="196" spans="3:4">
      <c r="C196" t="s">
        <v>108</v>
      </c>
      <c r="D196">
        <f t="array" ref="D196:D198">lapack_dgesv(D187:F189,D193:D195)</f>
        <v>0.234569870000005</v>
      </c>
    </row>
    <row r="197" spans="4:4">
      <c r="D197">
        <v>9999.99999999979</v>
      </c>
    </row>
    <row r="198" spans="4:4">
      <c r="D198">
        <v>-0.47123889803856</v>
      </c>
    </row>
    <row r="199" spans="3:7">
      <c r="C199" t="s">
        <v>101</v>
      </c>
      <c r="D199">
        <f>D196*D197-D$13</f>
        <v>0</v>
      </c>
      <c r="G199">
        <f>SQRT(D199^2+D200^2+D201^2)</f>
        <v>0</v>
      </c>
    </row>
    <row r="200" spans="4:7">
      <c r="D200">
        <f>D196*SQRT(D197^2+2*D$12*D197*COS(D198)+D$12^2)-D$14</f>
        <v>0</v>
      </c>
      <c r="G200" t="e">
        <f>G199/G184</f>
        <v>#DIV/0!</v>
      </c>
    </row>
    <row r="201" spans="4:4">
      <c r="D201">
        <f>D196*SQRT(D197^2+2*D$12*D197*SIN(D198)+D$12^2)-D$15</f>
        <v>0</v>
      </c>
    </row>
    <row r="202" spans="3:6">
      <c r="C202" t="s">
        <v>102</v>
      </c>
      <c r="D202">
        <f>D197</f>
        <v>9999.99999999979</v>
      </c>
      <c r="E202">
        <f>D196</f>
        <v>0.234569870000005</v>
      </c>
      <c r="F202">
        <f>0</f>
        <v>0</v>
      </c>
    </row>
    <row r="203" spans="4:6">
      <c r="D203">
        <f>SQRT(D197^2+2*D$12*D197*COS(D198)+D$12^2)</f>
        <v>10178.6062944172</v>
      </c>
      <c r="E203">
        <f>D196*(D197+D$12*COS(D198))/D203</f>
        <v>0.234560536860445</v>
      </c>
      <c r="F203">
        <f>-D$12*D196*D197*SIN(D198)/D203</f>
        <v>20.9247689565455</v>
      </c>
    </row>
    <row r="204" spans="4:6">
      <c r="D204">
        <f>SQRT(D197^2+2*D$12*D197*SIN(D198)+D$12^2)</f>
        <v>9910.80410466464</v>
      </c>
      <c r="E204">
        <f>D196*(D197+D$12*SIN(D198))/D204</f>
        <v>0.234531948866284</v>
      </c>
      <c r="F204">
        <f>D$12*D196*D197*COS(D198)/D204</f>
        <v>42.1768571633129</v>
      </c>
    </row>
    <row r="205" spans="3:4">
      <c r="C205" t="s">
        <v>103</v>
      </c>
      <c r="D205">
        <f t="array" ref="D205">SUMPRODUCT(D196:D198,TRANSPOSE(D202:F202))</f>
        <v>4691.3974</v>
      </c>
    </row>
    <row r="206" spans="4:4">
      <c r="D206">
        <f t="array" ref="D206">SUMPRODUCT(D196:D198,TRANSPOSE(D203:F203))</f>
        <v>4723.33915880228</v>
      </c>
    </row>
    <row r="207" spans="4:4">
      <c r="D207">
        <f t="array" ref="D207">SUMPRODUCT(D196:D198,TRANSPOSE(D204:F204))</f>
        <v>4650.22014339713</v>
      </c>
    </row>
    <row r="208" spans="3:4">
      <c r="C208" t="s">
        <v>104</v>
      </c>
      <c r="D208">
        <f t="shared" ref="D208:D210" si="13">D205-D199</f>
        <v>4691.3974</v>
      </c>
    </row>
    <row r="209" spans="4:4">
      <c r="D209">
        <f t="shared" si="13"/>
        <v>4723.33915880228</v>
      </c>
    </row>
    <row r="210" spans="4:4">
      <c r="D210">
        <f t="shared" si="13"/>
        <v>4650.22014339713</v>
      </c>
    </row>
    <row r="211" spans="3:4">
      <c r="C211" t="s">
        <v>108</v>
      </c>
      <c r="D211">
        <f t="array" ref="D211:D213">lapack_dgesv(D202:F204,D208:D210)</f>
        <v>0.234569870000006</v>
      </c>
    </row>
    <row r="212" spans="4:4">
      <c r="D212">
        <v>9999.99999999973</v>
      </c>
    </row>
    <row r="213" spans="4:4">
      <c r="D213">
        <v>-0.471238898038559</v>
      </c>
    </row>
    <row r="214" spans="3:7">
      <c r="C214" t="s">
        <v>101</v>
      </c>
      <c r="D214">
        <f>D211*D212-D$13</f>
        <v>0</v>
      </c>
      <c r="G214">
        <f>SQRT(D214^2+D215^2+D216^2)</f>
        <v>0</v>
      </c>
    </row>
    <row r="215" spans="4:7">
      <c r="D215">
        <f>D211*SQRT(D212^2+2*D$12*D212*COS(D213)+D$12^2)-D$14</f>
        <v>0</v>
      </c>
      <c r="G215" t="e">
        <f>G214/G199</f>
        <v>#DIV/0!</v>
      </c>
    </row>
    <row r="216" spans="4:4">
      <c r="D216">
        <f>D211*SQRT(D212^2+2*D$12*D212*SIN(D213)+D$12^2)-D$15</f>
        <v>0</v>
      </c>
    </row>
    <row r="217" spans="3:6">
      <c r="C217" t="s">
        <v>102</v>
      </c>
      <c r="D217">
        <f>D212</f>
        <v>9999.99999999973</v>
      </c>
      <c r="E217">
        <f>D211</f>
        <v>0.234569870000006</v>
      </c>
      <c r="F217">
        <f>0</f>
        <v>0</v>
      </c>
    </row>
    <row r="218" spans="4:6">
      <c r="D218">
        <f>SQRT(D212^2+2*D$12*D212*COS(D213)+D$12^2)</f>
        <v>10178.6062944171</v>
      </c>
      <c r="E218">
        <f>D211*(D212+D$12*COS(D213))/D218</f>
        <v>0.234560536860447</v>
      </c>
      <c r="F218">
        <f>-D$12*D211*D212*SIN(D213)/D218</f>
        <v>20.9247689565456</v>
      </c>
    </row>
    <row r="219" spans="4:6">
      <c r="D219">
        <f>SQRT(D212^2+2*D$12*D212*SIN(D213)+D$12^2)</f>
        <v>9910.80410466457</v>
      </c>
      <c r="E219">
        <f>D211*(D212+D$12*SIN(D213))/D219</f>
        <v>0.234531948866286</v>
      </c>
      <c r="F219">
        <f>D$12*D211*D212*COS(D213)/D219</f>
        <v>42.1768571633132</v>
      </c>
    </row>
    <row r="220" spans="3:4">
      <c r="C220" t="s">
        <v>103</v>
      </c>
      <c r="D220">
        <f t="array" ref="D220">SUMPRODUCT(D211:D213,TRANSPOSE(D217:F217))</f>
        <v>4691.3974</v>
      </c>
    </row>
    <row r="221" spans="4:4">
      <c r="D221">
        <f t="array" ref="D221">SUMPRODUCT(D211:D213,TRANSPOSE(D218:F218))</f>
        <v>4723.33915880228</v>
      </c>
    </row>
    <row r="222" spans="4:4">
      <c r="D222">
        <f t="array" ref="D222">SUMPRODUCT(D211:D213,TRANSPOSE(D219:F219))</f>
        <v>4650.22014339712</v>
      </c>
    </row>
    <row r="223" spans="3:4">
      <c r="C223" t="s">
        <v>104</v>
      </c>
      <c r="D223">
        <f t="shared" ref="D223:D225" si="14">D220-D214</f>
        <v>4691.3974</v>
      </c>
    </row>
    <row r="224" spans="4:4">
      <c r="D224">
        <f t="shared" si="14"/>
        <v>4723.33915880228</v>
      </c>
    </row>
    <row r="225" spans="4:4">
      <c r="D225">
        <f t="shared" si="14"/>
        <v>4650.22014339712</v>
      </c>
    </row>
    <row r="226" spans="3:4">
      <c r="C226" t="s">
        <v>108</v>
      </c>
      <c r="D226">
        <f t="array" ref="D226:D228">lapack_dgesv(D217:F219,D223:D225)</f>
        <v>0.234569870000007</v>
      </c>
    </row>
    <row r="227" spans="4:4">
      <c r="D227">
        <v>9999.99999999969</v>
      </c>
    </row>
    <row r="228" spans="4:4">
      <c r="D228">
        <v>-0.471238898038566</v>
      </c>
    </row>
    <row r="229" spans="3:7">
      <c r="C229" t="s">
        <v>101</v>
      </c>
      <c r="D229">
        <f>D226*D227-D$13</f>
        <v>0</v>
      </c>
      <c r="G229">
        <f>SQRT(D229^2+D230^2+D231^2)</f>
        <v>0</v>
      </c>
    </row>
    <row r="230" spans="4:7">
      <c r="D230">
        <f>D226*SQRT(D227^2+2*D$12*D227*COS(D228)+D$12^2)-D$14</f>
        <v>0</v>
      </c>
      <c r="G230" t="e">
        <f>G229/G214</f>
        <v>#DIV/0!</v>
      </c>
    </row>
    <row r="231" spans="4:4">
      <c r="D231">
        <f>D226*SQRT(D227^2+2*D$12*D227*SIN(D228)+D$12^2)-D$15</f>
        <v>0</v>
      </c>
    </row>
    <row r="232" spans="3:6">
      <c r="C232" t="s">
        <v>102</v>
      </c>
      <c r="D232">
        <f>D227</f>
        <v>9999.99999999969</v>
      </c>
      <c r="E232">
        <f>D226</f>
        <v>0.234569870000007</v>
      </c>
      <c r="F232">
        <f>0</f>
        <v>0</v>
      </c>
    </row>
    <row r="233" spans="4:6">
      <c r="D233">
        <f>SQRT(D227^2+2*D$12*D227*COS(D228)+D$12^2)</f>
        <v>10178.6062944171</v>
      </c>
      <c r="E233">
        <f>D226*(D227+D$12*COS(D228))/D233</f>
        <v>0.234560536860448</v>
      </c>
      <c r="F233">
        <f>-D$12*D226*D227*SIN(D228)/D233</f>
        <v>20.924768956546</v>
      </c>
    </row>
    <row r="234" spans="4:6">
      <c r="D234">
        <f>SQRT(D227^2+2*D$12*D227*SIN(D228)+D$12^2)</f>
        <v>9910.80410466453</v>
      </c>
      <c r="E234">
        <f>D226*(D227+D$12*SIN(D228))/D234</f>
        <v>0.234531948866287</v>
      </c>
      <c r="F234">
        <f>D$12*D226*D227*COS(D228)/D234</f>
        <v>42.1768571633132</v>
      </c>
    </row>
    <row r="235" spans="3:4">
      <c r="C235" t="s">
        <v>103</v>
      </c>
      <c r="D235">
        <f t="array" ref="D235">SUMPRODUCT(D226:D228,TRANSPOSE(D232:F232))</f>
        <v>4691.3974</v>
      </c>
    </row>
    <row r="236" spans="4:4">
      <c r="D236">
        <f t="array" ref="D236">SUMPRODUCT(D226:D228,TRANSPOSE(D233:F233))</f>
        <v>4723.33915880228</v>
      </c>
    </row>
    <row r="237" spans="4:4">
      <c r="D237">
        <f t="array" ref="D237">SUMPRODUCT(D226:D228,TRANSPOSE(D234:F234))</f>
        <v>4650.22014339712</v>
      </c>
    </row>
    <row r="238" spans="3:4">
      <c r="C238" t="s">
        <v>104</v>
      </c>
      <c r="D238">
        <f t="shared" ref="D238:D240" si="15">D235-D229</f>
        <v>4691.3974</v>
      </c>
    </row>
    <row r="239" spans="4:4">
      <c r="D239">
        <f t="shared" si="15"/>
        <v>4723.33915880228</v>
      </c>
    </row>
    <row r="240" spans="4:4">
      <c r="D240">
        <f t="shared" si="15"/>
        <v>4650.22014339712</v>
      </c>
    </row>
    <row r="241" spans="3:4">
      <c r="C241" t="s">
        <v>108</v>
      </c>
      <c r="D241">
        <f t="array" ref="D241:D243">lapack_dgesv(D232:F234,D238:D240)</f>
        <v>0.234569870000007</v>
      </c>
    </row>
    <row r="242" spans="4:4">
      <c r="D242">
        <v>9999.99999999969</v>
      </c>
    </row>
    <row r="243" spans="4:4">
      <c r="D243">
        <v>-0.471238898038547</v>
      </c>
    </row>
    <row r="244" spans="3:7">
      <c r="C244" t="s">
        <v>101</v>
      </c>
      <c r="D244">
        <f>D241*D242-D$13</f>
        <v>0</v>
      </c>
      <c r="G244">
        <f>SQRT(D244^2+D245^2+D246^2)</f>
        <v>0</v>
      </c>
    </row>
    <row r="245" spans="4:7">
      <c r="D245">
        <f>D241*SQRT(D242^2+2*D$12*D242*COS(D243)+D$12^2)-D$14</f>
        <v>0</v>
      </c>
      <c r="G245" t="e">
        <f>G244/G229</f>
        <v>#DIV/0!</v>
      </c>
    </row>
    <row r="246" spans="4:4">
      <c r="D246">
        <f>D241*SQRT(D242^2+2*D$12*D242*SIN(D243)+D$12^2)-D$15</f>
        <v>0</v>
      </c>
    </row>
    <row r="247" spans="3:6">
      <c r="C247" t="s">
        <v>102</v>
      </c>
      <c r="D247">
        <f>D242</f>
        <v>9999.99999999969</v>
      </c>
      <c r="E247">
        <f>D241</f>
        <v>0.234569870000007</v>
      </c>
      <c r="F247">
        <f>0</f>
        <v>0</v>
      </c>
    </row>
    <row r="248" spans="4:6">
      <c r="D248">
        <f>SQRT(D242^2+2*D$12*D242*COS(D243)+D$12^2)</f>
        <v>10178.6062944171</v>
      </c>
      <c r="E248">
        <f>D241*(D242+D$12*COS(D243))/D248</f>
        <v>0.234560536860448</v>
      </c>
      <c r="F248">
        <f>-D$12*D241*D242*SIN(D243)/D248</f>
        <v>20.9247689565452</v>
      </c>
    </row>
    <row r="249" spans="4:6">
      <c r="D249">
        <f>SQRT(D242^2+2*D$12*D242*SIN(D243)+D$12^2)</f>
        <v>9910.80410466454</v>
      </c>
      <c r="E249">
        <f>D241*(D242+D$12*SIN(D243))/D249</f>
        <v>0.234531948866287</v>
      </c>
      <c r="F249">
        <f>D$12*D241*D242*COS(D243)/D249</f>
        <v>42.1768571633136</v>
      </c>
    </row>
    <row r="250" spans="3:4">
      <c r="C250" t="s">
        <v>103</v>
      </c>
      <c r="D250">
        <f t="array" ref="D250">SUMPRODUCT(D241:D243,TRANSPOSE(D247:F247))</f>
        <v>4691.3974</v>
      </c>
    </row>
    <row r="251" spans="4:4">
      <c r="D251">
        <f t="array" ref="D251">SUMPRODUCT(D241:D243,TRANSPOSE(D248:F248))</f>
        <v>4723.33915880228</v>
      </c>
    </row>
    <row r="252" spans="4:4">
      <c r="D252">
        <f t="array" ref="D252">SUMPRODUCT(D241:D243,TRANSPOSE(D249:F249))</f>
        <v>4650.22014339713</v>
      </c>
    </row>
    <row r="253" spans="3:4">
      <c r="C253" t="s">
        <v>104</v>
      </c>
      <c r="D253">
        <f t="shared" ref="D253:D255" si="16">D250-D244</f>
        <v>4691.3974</v>
      </c>
    </row>
    <row r="254" spans="4:4">
      <c r="D254">
        <f t="shared" si="16"/>
        <v>4723.33915880228</v>
      </c>
    </row>
    <row r="255" spans="4:4">
      <c r="D255">
        <f t="shared" si="16"/>
        <v>4650.22014339713</v>
      </c>
    </row>
    <row r="256" spans="3:4">
      <c r="C256" t="s">
        <v>108</v>
      </c>
      <c r="D256">
        <f t="array" ref="D256:D258">lapack_dgesv(D247:F249,D253:D255)</f>
        <v>0.234569870000009</v>
      </c>
    </row>
    <row r="257" spans="4:4">
      <c r="D257">
        <v>9999.99999999961</v>
      </c>
    </row>
    <row r="258" spans="4:4">
      <c r="D258">
        <v>-0.471238898038523</v>
      </c>
    </row>
    <row r="259" spans="3:7">
      <c r="C259" t="s">
        <v>101</v>
      </c>
      <c r="D259">
        <f>D256*D257-D$13</f>
        <v>0</v>
      </c>
      <c r="G259">
        <f>SQRT(D259^2+D260^2+D261^2)</f>
        <v>0</v>
      </c>
    </row>
    <row r="260" spans="4:7">
      <c r="D260">
        <f>D256*SQRT(D257^2+2*D$12*D257*COS(D258)+D$12^2)-D$14</f>
        <v>0</v>
      </c>
      <c r="G260" t="e">
        <f>G259/G244</f>
        <v>#DIV/0!</v>
      </c>
    </row>
    <row r="261" spans="4:4">
      <c r="D261">
        <f>D256*SQRT(D257^2+2*D$12*D257*SIN(D258)+D$12^2)-D$15</f>
        <v>0</v>
      </c>
    </row>
    <row r="262" spans="3:6">
      <c r="C262" t="s">
        <v>102</v>
      </c>
      <c r="D262">
        <f>D257</f>
        <v>9999.99999999961</v>
      </c>
      <c r="E262">
        <f>D256</f>
        <v>0.234569870000009</v>
      </c>
      <c r="F262">
        <f>0</f>
        <v>0</v>
      </c>
    </row>
    <row r="263" spans="4:6">
      <c r="D263">
        <f>SQRT(D257^2+2*D$12*D257*COS(D258)+D$12^2)</f>
        <v>10178.606294417</v>
      </c>
      <c r="E263">
        <f>D256*(D257+D$12*COS(D258))/D263</f>
        <v>0.23456053686045</v>
      </c>
      <c r="F263">
        <f>-D$12*D256*D257*SIN(D258)/D263</f>
        <v>20.9247689565443</v>
      </c>
    </row>
    <row r="264" spans="4:6">
      <c r="D264">
        <f>SQRT(D257^2+2*D$12*D257*SIN(D258)+D$12^2)</f>
        <v>9910.80410466446</v>
      </c>
      <c r="E264">
        <f>D256*(D257+D$12*SIN(D258))/D264</f>
        <v>0.234531948866289</v>
      </c>
      <c r="F264">
        <f>D$12*D256*D257*COS(D258)/D264</f>
        <v>42.1768571633144</v>
      </c>
    </row>
    <row r="265" spans="3:4">
      <c r="C265" t="s">
        <v>103</v>
      </c>
      <c r="D265">
        <f t="array" ref="D265">SUMPRODUCT(D256:D258,TRANSPOSE(D262:F262))</f>
        <v>4691.3974</v>
      </c>
    </row>
    <row r="266" spans="4:4">
      <c r="D266">
        <f t="array" ref="D266">SUMPRODUCT(D256:D258,TRANSPOSE(D263:F263))</f>
        <v>4723.33915880228</v>
      </c>
    </row>
    <row r="267" spans="4:4">
      <c r="D267">
        <f t="array" ref="D267">SUMPRODUCT(D256:D258,TRANSPOSE(D264:F264))</f>
        <v>4650.22014339713</v>
      </c>
    </row>
    <row r="268" spans="3:4">
      <c r="C268" t="s">
        <v>104</v>
      </c>
      <c r="D268">
        <f t="shared" ref="D268:D270" si="17">D265-D259</f>
        <v>4691.3974</v>
      </c>
    </row>
    <row r="269" spans="4:4">
      <c r="D269">
        <f t="shared" si="17"/>
        <v>4723.33915880228</v>
      </c>
    </row>
    <row r="270" spans="4:4">
      <c r="D270">
        <f t="shared" si="17"/>
        <v>4650.22014339713</v>
      </c>
    </row>
    <row r="271" spans="3:4">
      <c r="C271" t="s">
        <v>108</v>
      </c>
      <c r="D271">
        <f t="array" ref="D271:D273">lapack_dgesv(D262:F264,D268:D270)</f>
        <v>0.234569870000012</v>
      </c>
    </row>
    <row r="272" spans="4:4">
      <c r="D272">
        <v>9999.99999999949</v>
      </c>
    </row>
    <row r="273" spans="4:4">
      <c r="D273">
        <v>-0.471238898038543</v>
      </c>
    </row>
    <row r="274" spans="3:7">
      <c r="C274" t="s">
        <v>101</v>
      </c>
      <c r="D274">
        <f>D271*D272-D$13</f>
        <v>0</v>
      </c>
      <c r="G274">
        <f>SQRT(D274^2+D275^2+D276^2)</f>
        <v>0</v>
      </c>
    </row>
    <row r="275" spans="4:7">
      <c r="D275">
        <f>D271*SQRT(D272^2+2*D$12*D272*COS(D273)+D$12^2)-D$14</f>
        <v>0</v>
      </c>
      <c r="G275" t="e">
        <f>G274/G259</f>
        <v>#DIV/0!</v>
      </c>
    </row>
    <row r="276" spans="4:4">
      <c r="D276">
        <f>D271*SQRT(D272^2+2*D$12*D272*SIN(D273)+D$12^2)-D$15</f>
        <v>0</v>
      </c>
    </row>
    <row r="277" spans="3:6">
      <c r="C277" t="s">
        <v>102</v>
      </c>
      <c r="D277">
        <f>D272</f>
        <v>9999.99999999949</v>
      </c>
      <c r="E277">
        <f>D271</f>
        <v>0.234569870000012</v>
      </c>
      <c r="F277">
        <f>0</f>
        <v>0</v>
      </c>
    </row>
    <row r="278" spans="4:6">
      <c r="D278">
        <f>SQRT(D272^2+2*D$12*D272*COS(D273)+D$12^2)</f>
        <v>10178.6062944169</v>
      </c>
      <c r="E278">
        <f>D271*(D272+D$12*COS(D273))/D278</f>
        <v>0.234560536860453</v>
      </c>
      <c r="F278">
        <f>-D$12*D271*D272*SIN(D273)/D278</f>
        <v>20.9247689565454</v>
      </c>
    </row>
    <row r="279" spans="4:6">
      <c r="D279">
        <f>SQRT(D272^2+2*D$12*D272*SIN(D273)+D$12^2)</f>
        <v>9910.80410466433</v>
      </c>
      <c r="E279">
        <f>D271*(D272+D$12*SIN(D273))/D279</f>
        <v>0.234531948866292</v>
      </c>
      <c r="F279">
        <f>D$12*D271*D272*COS(D273)/D279</f>
        <v>42.1768571633145</v>
      </c>
    </row>
    <row r="280" spans="3:4">
      <c r="C280" t="s">
        <v>103</v>
      </c>
      <c r="D280">
        <f t="array" ref="D280">SUMPRODUCT(D271:D273,TRANSPOSE(D277:F277))</f>
        <v>4691.3974</v>
      </c>
    </row>
    <row r="281" spans="4:4">
      <c r="D281">
        <f t="array" ref="D281">SUMPRODUCT(D271:D273,TRANSPOSE(D278:F278))</f>
        <v>4723.33915880228</v>
      </c>
    </row>
    <row r="282" spans="4:4">
      <c r="D282">
        <f t="array" ref="D282">SUMPRODUCT(D271:D273,TRANSPOSE(D279:F279))</f>
        <v>4650.22014339712</v>
      </c>
    </row>
    <row r="283" spans="3:4">
      <c r="C283" t="s">
        <v>104</v>
      </c>
      <c r="D283">
        <f t="shared" ref="D283:D285" si="18">D280-D274</f>
        <v>4691.3974</v>
      </c>
    </row>
    <row r="284" spans="4:4">
      <c r="D284">
        <f t="shared" si="18"/>
        <v>4723.33915880228</v>
      </c>
    </row>
    <row r="285" spans="4:4">
      <c r="D285">
        <f t="shared" si="18"/>
        <v>4650.22014339712</v>
      </c>
    </row>
    <row r="286" spans="3:4">
      <c r="C286" t="s">
        <v>108</v>
      </c>
      <c r="D286">
        <f t="array" ref="D286:D288">lapack_dgesv(D277:F279,D283:D285)</f>
        <v>0.234569870000015</v>
      </c>
    </row>
    <row r="287" spans="4:4">
      <c r="D287">
        <v>9999.99999999938</v>
      </c>
    </row>
    <row r="288" spans="4:4">
      <c r="D288">
        <v>-0.471238898038548</v>
      </c>
    </row>
    <row r="289" spans="3:7">
      <c r="C289" t="s">
        <v>101</v>
      </c>
      <c r="D289">
        <f>D286*D287-D$13</f>
        <v>0</v>
      </c>
      <c r="G289">
        <f>SQRT(D289^2+D290^2+D291^2)</f>
        <v>0</v>
      </c>
    </row>
    <row r="290" spans="4:7">
      <c r="D290">
        <f>D286*SQRT(D287^2+2*D$12*D287*COS(D288)+D$12^2)-D$14</f>
        <v>0</v>
      </c>
      <c r="G290" t="e">
        <f>G289/G274</f>
        <v>#DIV/0!</v>
      </c>
    </row>
    <row r="291" spans="4:4">
      <c r="D291">
        <f>D286*SQRT(D287^2+2*D$12*D287*SIN(D288)+D$12^2)-D$15</f>
        <v>0</v>
      </c>
    </row>
    <row r="292" spans="3:6">
      <c r="C292" t="s">
        <v>102</v>
      </c>
      <c r="D292">
        <f>D287</f>
        <v>9999.99999999938</v>
      </c>
      <c r="E292">
        <f>D286</f>
        <v>0.234569870000015</v>
      </c>
      <c r="F292">
        <f>0</f>
        <v>0</v>
      </c>
    </row>
    <row r="293" spans="4:6">
      <c r="D293">
        <f>SQRT(D287^2+2*D$12*D287*COS(D288)+D$12^2)</f>
        <v>10178.6062944168</v>
      </c>
      <c r="E293">
        <f>D286*(D287+D$12*COS(D288))/D293</f>
        <v>0.234560536860455</v>
      </c>
      <c r="F293">
        <f>-D$12*D286*D287*SIN(D288)/D293</f>
        <v>20.9247689565458</v>
      </c>
    </row>
    <row r="294" spans="4:6">
      <c r="D294">
        <f>SQRT(D287^2+2*D$12*D287*SIN(D288)+D$12^2)</f>
        <v>9910.80410466423</v>
      </c>
      <c r="E294">
        <f>D286*(D287+D$12*SIN(D288))/D294</f>
        <v>0.234531948866294</v>
      </c>
      <c r="F294">
        <f>D$12*D286*D287*COS(D288)/D294</f>
        <v>42.1768571633149</v>
      </c>
    </row>
    <row r="295" spans="3:4">
      <c r="C295" t="s">
        <v>103</v>
      </c>
      <c r="D295">
        <f t="array" ref="D295">SUMPRODUCT(D286:D288,TRANSPOSE(D292:F292))</f>
        <v>4691.3974</v>
      </c>
    </row>
    <row r="296" spans="4:4">
      <c r="D296">
        <f t="array" ref="D296">SUMPRODUCT(D286:D288,TRANSPOSE(D293:F293))</f>
        <v>4723.33915880228</v>
      </c>
    </row>
    <row r="297" spans="4:4">
      <c r="D297">
        <f t="array" ref="D297">SUMPRODUCT(D286:D288,TRANSPOSE(D294:F294))</f>
        <v>4650.22014339712</v>
      </c>
    </row>
    <row r="298" spans="3:4">
      <c r="C298" t="s">
        <v>104</v>
      </c>
      <c r="D298">
        <f t="shared" ref="D298:D300" si="19">D295-D289</f>
        <v>4691.3974</v>
      </c>
    </row>
    <row r="299" spans="4:4">
      <c r="D299">
        <f t="shared" si="19"/>
        <v>4723.33915880228</v>
      </c>
    </row>
    <row r="300" spans="4:4">
      <c r="D300">
        <f t="shared" si="19"/>
        <v>4650.22014339712</v>
      </c>
    </row>
    <row r="301" spans="3:4">
      <c r="C301" t="s">
        <v>108</v>
      </c>
      <c r="D301">
        <f t="array" ref="D301:D303">lapack_dgesv(D292:F294,D298:D300)</f>
        <v>0.234569870000015</v>
      </c>
    </row>
    <row r="302" spans="4:4">
      <c r="D302">
        <v>9999.99999999935</v>
      </c>
    </row>
    <row r="303" spans="4:4">
      <c r="D303">
        <v>-0.471238898038563</v>
      </c>
    </row>
    <row r="304" spans="3:7">
      <c r="C304" t="s">
        <v>101</v>
      </c>
      <c r="D304">
        <f>D301*D302-D$13</f>
        <v>0</v>
      </c>
      <c r="G304">
        <f>SQRT(D304^2+D305^2+D306^2)</f>
        <v>0</v>
      </c>
    </row>
    <row r="305" spans="4:7">
      <c r="D305">
        <f>D301*SQRT(D302^2+2*D$12*D302*COS(D303)+D$12^2)-D$14</f>
        <v>0</v>
      </c>
      <c r="G305" t="e">
        <f>G304/G289</f>
        <v>#DIV/0!</v>
      </c>
    </row>
    <row r="306" spans="4:4">
      <c r="D306">
        <f>D301*SQRT(D302^2+2*D$12*D302*SIN(D303)+D$12^2)-D$15</f>
        <v>0</v>
      </c>
    </row>
    <row r="307" spans="3:6">
      <c r="C307" t="s">
        <v>102</v>
      </c>
      <c r="D307">
        <f>D302</f>
        <v>9999.99999999935</v>
      </c>
      <c r="E307">
        <f>D301</f>
        <v>0.234569870000015</v>
      </c>
      <c r="F307">
        <f>0</f>
        <v>0</v>
      </c>
    </row>
    <row r="308" spans="4:6">
      <c r="D308">
        <f>SQRT(D302^2+2*D$12*D302*COS(D303)+D$12^2)</f>
        <v>10178.6062944167</v>
      </c>
      <c r="E308">
        <f>D301*(D302+D$12*COS(D303))/D308</f>
        <v>0.234560536860456</v>
      </c>
      <c r="F308">
        <f>-D$12*D301*D302*SIN(D303)/D308</f>
        <v>20.9247689565465</v>
      </c>
    </row>
    <row r="309" spans="4:6">
      <c r="D309">
        <f>SQRT(D302^2+2*D$12*D302*SIN(D303)+D$12^2)</f>
        <v>9910.80410466419</v>
      </c>
      <c r="E309">
        <f>D301*(D302+D$12*SIN(D303))/D309</f>
        <v>0.234531948866295</v>
      </c>
      <c r="F309">
        <f>D$12*D301*D302*COS(D303)/D309</f>
        <v>42.1768571633147</v>
      </c>
    </row>
    <row r="310" spans="3:4">
      <c r="C310" t="s">
        <v>103</v>
      </c>
      <c r="D310">
        <f t="array" ref="D310">SUMPRODUCT(D301:D303,TRANSPOSE(D307:F307))</f>
        <v>4691.3974</v>
      </c>
    </row>
    <row r="311" spans="4:4">
      <c r="D311">
        <f t="array" ref="D311">SUMPRODUCT(D301:D303,TRANSPOSE(D308:F308))</f>
        <v>4723.33915880228</v>
      </c>
    </row>
    <row r="312" spans="4:4">
      <c r="D312">
        <f t="array" ref="D312">SUMPRODUCT(D301:D303,TRANSPOSE(D309:F309))</f>
        <v>4650.22014339712</v>
      </c>
    </row>
    <row r="313" spans="3:4">
      <c r="C313" t="s">
        <v>104</v>
      </c>
      <c r="D313">
        <f t="shared" ref="D313:D315" si="20">D310-D304</f>
        <v>4691.3974</v>
      </c>
    </row>
    <row r="314" spans="4:4">
      <c r="D314">
        <f t="shared" si="20"/>
        <v>4723.33915880228</v>
      </c>
    </row>
    <row r="315" spans="4:4">
      <c r="D315">
        <f t="shared" si="20"/>
        <v>4650.22014339712</v>
      </c>
    </row>
    <row r="316" spans="3:4">
      <c r="C316" t="s">
        <v>108</v>
      </c>
      <c r="D316">
        <f t="array" ref="D316:D318">lapack_dgesv(D307:F309,D313:D315)</f>
        <v>0.234569870000016</v>
      </c>
    </row>
    <row r="317" spans="4:4">
      <c r="D317">
        <v>9999.99999999933</v>
      </c>
    </row>
    <row r="318" spans="4:4">
      <c r="D318">
        <v>-0.471238898038575</v>
      </c>
    </row>
    <row r="319" spans="3:7">
      <c r="C319" t="s">
        <v>101</v>
      </c>
      <c r="D319">
        <f>D316*D317-D$13</f>
        <v>0</v>
      </c>
      <c r="G319">
        <f>SQRT(D319^2+D320^2+D321^2)</f>
        <v>0</v>
      </c>
    </row>
    <row r="320" spans="4:7">
      <c r="D320">
        <f>D316*SQRT(D317^2+2*D$12*D317*COS(D318)+D$12^2)-D$14</f>
        <v>0</v>
      </c>
      <c r="G320" t="e">
        <f>G319/G304</f>
        <v>#DIV/0!</v>
      </c>
    </row>
    <row r="321" spans="4:4">
      <c r="D321">
        <f>D316*SQRT(D317^2+2*D$12*D317*SIN(D318)+D$12^2)-D$15</f>
        <v>0</v>
      </c>
    </row>
    <row r="322" spans="3:6">
      <c r="C322" t="s">
        <v>102</v>
      </c>
      <c r="D322">
        <f>D317</f>
        <v>9999.99999999933</v>
      </c>
      <c r="E322">
        <f>D316</f>
        <v>0.234569870000016</v>
      </c>
      <c r="F322">
        <f>0</f>
        <v>0</v>
      </c>
    </row>
    <row r="323" spans="4:6">
      <c r="D323">
        <f>SQRT(D317^2+2*D$12*D317*COS(D318)+D$12^2)</f>
        <v>10178.6062944167</v>
      </c>
      <c r="E323">
        <f>D316*(D317+D$12*COS(D318))/D323</f>
        <v>0.234560536860456</v>
      </c>
      <c r="F323">
        <f>-D$12*D316*D317*SIN(D318)/D323</f>
        <v>20.924768956547</v>
      </c>
    </row>
    <row r="324" spans="4:6">
      <c r="D324">
        <f>SQRT(D317^2+2*D$12*D317*SIN(D318)+D$12^2)</f>
        <v>9910.80410466417</v>
      </c>
      <c r="E324">
        <f>D316*(D317+D$12*SIN(D318))/D324</f>
        <v>0.234531948866295</v>
      </c>
      <c r="F324">
        <f>D$12*D316*D317*COS(D318)/D324</f>
        <v>42.1768571633146</v>
      </c>
    </row>
    <row r="325" spans="3:4">
      <c r="C325" t="s">
        <v>103</v>
      </c>
      <c r="D325">
        <f t="array" ref="D325">SUMPRODUCT(D316:D318,TRANSPOSE(D322:F322))</f>
        <v>4691.3974</v>
      </c>
    </row>
    <row r="326" spans="4:4">
      <c r="D326">
        <f t="array" ref="D326">SUMPRODUCT(D316:D318,TRANSPOSE(D323:F323))</f>
        <v>4723.33915880228</v>
      </c>
    </row>
    <row r="327" spans="4:4">
      <c r="D327">
        <f t="array" ref="D327">SUMPRODUCT(D316:D318,TRANSPOSE(D324:F324))</f>
        <v>4650.22014339712</v>
      </c>
    </row>
    <row r="328" spans="3:4">
      <c r="C328" t="s">
        <v>104</v>
      </c>
      <c r="D328">
        <f t="shared" ref="D328:D330" si="21">D325-D319</f>
        <v>4691.3974</v>
      </c>
    </row>
    <row r="329" spans="4:4">
      <c r="D329">
        <f t="shared" si="21"/>
        <v>4723.33915880228</v>
      </c>
    </row>
    <row r="330" spans="4:4">
      <c r="D330">
        <f t="shared" si="21"/>
        <v>4650.22014339712</v>
      </c>
    </row>
    <row r="331" spans="3:4">
      <c r="C331" t="s">
        <v>108</v>
      </c>
      <c r="D331">
        <f t="array" ref="D331:D333">lapack_dgesv(D322:F324,D328:D330)</f>
        <v>0.234569870000016</v>
      </c>
    </row>
    <row r="332" spans="4:4">
      <c r="D332">
        <v>9999.99999999931</v>
      </c>
    </row>
    <row r="333" spans="4:4">
      <c r="D333">
        <v>-0.471238898038564</v>
      </c>
    </row>
    <row r="334" spans="3:7">
      <c r="C334" t="s">
        <v>101</v>
      </c>
      <c r="D334">
        <f>D331*D332-D$13</f>
        <v>0</v>
      </c>
      <c r="G334">
        <f>SQRT(D334^2+D335^2+D336^2)</f>
        <v>3.63797880709171e-12</v>
      </c>
    </row>
    <row r="335" spans="4:7">
      <c r="D335">
        <f>D331*SQRT(D332^2+2*D$12*D332*COS(D333)+D$12^2)-D$14</f>
        <v>3.63797880709171e-12</v>
      </c>
      <c r="G335" t="e">
        <f>G334/G319</f>
        <v>#DIV/0!</v>
      </c>
    </row>
    <row r="336" spans="4:4">
      <c r="D336">
        <f>D331*SQRT(D332^2+2*D$12*D332*SIN(D333)+D$12^2)-D$15</f>
        <v>0</v>
      </c>
    </row>
    <row r="337" spans="3:6">
      <c r="C337" t="s">
        <v>102</v>
      </c>
      <c r="D337">
        <f>D332</f>
        <v>9999.99999999931</v>
      </c>
      <c r="E337">
        <f>D331</f>
        <v>0.234569870000016</v>
      </c>
      <c r="F337">
        <f>0</f>
        <v>0</v>
      </c>
    </row>
    <row r="338" spans="4:6">
      <c r="D338">
        <f>SQRT(D332^2+2*D$12*D332*COS(D333)+D$12^2)</f>
        <v>10178.6062944167</v>
      </c>
      <c r="E338">
        <f>D331*(D332+D$12*COS(D333))/D338</f>
        <v>0.234560536860457</v>
      </c>
      <c r="F338">
        <f>-D$12*D331*D332*SIN(D333)/D338</f>
        <v>20.9247689565466</v>
      </c>
    </row>
    <row r="339" spans="4:6">
      <c r="D339">
        <f>SQRT(D332^2+2*D$12*D332*SIN(D333)+D$12^2)</f>
        <v>9910.80410466415</v>
      </c>
      <c r="E339">
        <f>D331*(D332+D$12*SIN(D333))/D339</f>
        <v>0.234531948866296</v>
      </c>
      <c r="F339">
        <f>D$12*D331*D332*COS(D333)/D339</f>
        <v>42.1768571633149</v>
      </c>
    </row>
    <row r="340" spans="3:4">
      <c r="C340" t="s">
        <v>103</v>
      </c>
      <c r="D340">
        <f t="array" ref="D340">SUMPRODUCT(D331:D333,TRANSPOSE(D337:F337))</f>
        <v>4691.3974</v>
      </c>
    </row>
    <row r="341" spans="4:4">
      <c r="D341">
        <f t="array" ref="D341">SUMPRODUCT(D331:D333,TRANSPOSE(D338:F338))</f>
        <v>4723.33915880229</v>
      </c>
    </row>
    <row r="342" spans="4:4">
      <c r="D342">
        <f t="array" ref="D342">SUMPRODUCT(D331:D333,TRANSPOSE(D339:F339))</f>
        <v>4650.22014339712</v>
      </c>
    </row>
    <row r="343" spans="3:4">
      <c r="C343" t="s">
        <v>104</v>
      </c>
      <c r="D343">
        <f t="shared" ref="D343:D345" si="22">D340-D334</f>
        <v>4691.3974</v>
      </c>
    </row>
    <row r="344" spans="4:4">
      <c r="D344">
        <f t="shared" si="22"/>
        <v>4723.33915880228</v>
      </c>
    </row>
    <row r="345" spans="4:4">
      <c r="D345">
        <f t="shared" si="22"/>
        <v>4650.22014339712</v>
      </c>
    </row>
    <row r="346" spans="3:4">
      <c r="C346" t="s">
        <v>108</v>
      </c>
      <c r="D346">
        <f t="array" ref="D346:D348">lapack_dgesv(D337:F339,D343:D345)</f>
        <v>0.234569869999999</v>
      </c>
    </row>
    <row r="347" spans="4:4">
      <c r="D347">
        <v>10000</v>
      </c>
    </row>
    <row r="348" spans="4:4">
      <c r="D348">
        <v>-0.471238898038609</v>
      </c>
    </row>
    <row r="349" spans="3:7">
      <c r="C349" t="s">
        <v>101</v>
      </c>
      <c r="D349">
        <f>D346*D347-D$13</f>
        <v>0</v>
      </c>
      <c r="G349">
        <f>SQRT(D349^2+D350^2+D351^2)</f>
        <v>0</v>
      </c>
    </row>
    <row r="350" spans="4:7">
      <c r="D350">
        <f>D346*SQRT(D347^2+2*D$12*D347*COS(D348)+D$12^2)-D$14</f>
        <v>0</v>
      </c>
      <c r="G350">
        <f>G349/G334</f>
        <v>0</v>
      </c>
    </row>
    <row r="351" spans="4:4">
      <c r="D351">
        <f>D346*SQRT(D347^2+2*D$12*D347*SIN(D348)+D$12^2)-D$15</f>
        <v>0</v>
      </c>
    </row>
    <row r="352" spans="3:6">
      <c r="C352" t="s">
        <v>102</v>
      </c>
      <c r="D352">
        <f>D347</f>
        <v>10000</v>
      </c>
      <c r="E352">
        <f>D346</f>
        <v>0.234569869999999</v>
      </c>
      <c r="F352">
        <f>0</f>
        <v>0</v>
      </c>
    </row>
    <row r="353" spans="4:6">
      <c r="D353">
        <f>SQRT(D347^2+2*D$12*D347*COS(D348)+D$12^2)</f>
        <v>10178.6062944174</v>
      </c>
      <c r="E353">
        <f>D346*(D347+D$12*COS(D348))/D353</f>
        <v>0.23456053686044</v>
      </c>
      <c r="F353">
        <f>-D$12*D346*D347*SIN(D348)/D353</f>
        <v>20.924768956547</v>
      </c>
    </row>
    <row r="354" spans="4:6">
      <c r="D354">
        <f>SQRT(D347^2+2*D$12*D347*SIN(D348)+D$12^2)</f>
        <v>9910.80410466487</v>
      </c>
      <c r="E354">
        <f>D346*(D347+D$12*SIN(D348))/D354</f>
        <v>0.234531948866279</v>
      </c>
      <c r="F354">
        <f>D$12*D346*D347*COS(D348)/D354</f>
        <v>42.1768571633109</v>
      </c>
    </row>
    <row r="355" spans="3:4">
      <c r="C355" t="s">
        <v>103</v>
      </c>
      <c r="D355">
        <f t="array" ref="D355">SUMPRODUCT(D346:D348,TRANSPOSE(D352:F352))</f>
        <v>4691.3974</v>
      </c>
    </row>
    <row r="356" spans="4:4">
      <c r="D356">
        <f t="array" ref="D356">SUMPRODUCT(D346:D348,TRANSPOSE(D353:F353))</f>
        <v>4723.33915880228</v>
      </c>
    </row>
    <row r="357" spans="4:4">
      <c r="D357">
        <f t="array" ref="D357">SUMPRODUCT(D346:D348,TRANSPOSE(D354:F354))</f>
        <v>4650.22014339712</v>
      </c>
    </row>
    <row r="358" spans="3:4">
      <c r="C358" t="s">
        <v>104</v>
      </c>
      <c r="D358">
        <f t="shared" ref="D358:D360" si="23">D355-D349</f>
        <v>4691.3974</v>
      </c>
    </row>
    <row r="359" spans="4:4">
      <c r="D359">
        <f t="shared" si="23"/>
        <v>4723.33915880228</v>
      </c>
    </row>
    <row r="360" spans="4:4">
      <c r="D360">
        <f t="shared" si="23"/>
        <v>4650.22014339712</v>
      </c>
    </row>
    <row r="361" spans="3:4">
      <c r="C361" t="s">
        <v>108</v>
      </c>
      <c r="D361">
        <f t="array" ref="D361:D363">lapack_dgesv(D352:F354,D358:D360)</f>
        <v>0.234569870000002</v>
      </c>
    </row>
    <row r="362" spans="4:4">
      <c r="D362">
        <v>9999.99999999994</v>
      </c>
    </row>
    <row r="363" spans="4:4">
      <c r="D363">
        <v>-0.471238898038616</v>
      </c>
    </row>
    <row r="364" spans="3:7">
      <c r="C364" t="s">
        <v>101</v>
      </c>
      <c r="D364">
        <f>D361*D362-D$13</f>
        <v>0</v>
      </c>
      <c r="G364">
        <f>SQRT(D364^2+D365^2+D366^2)</f>
        <v>0</v>
      </c>
    </row>
    <row r="365" spans="4:7">
      <c r="D365">
        <f>D361*SQRT(D362^2+2*D$12*D362*COS(D363)+D$12^2)-D$14</f>
        <v>0</v>
      </c>
      <c r="G365" t="e">
        <f>G364/G349</f>
        <v>#DIV/0!</v>
      </c>
    </row>
    <row r="366" spans="4:4">
      <c r="D366">
        <f>D361*SQRT(D362^2+2*D$12*D362*SIN(D363)+D$12^2)-D$15</f>
        <v>0</v>
      </c>
    </row>
    <row r="367" spans="3:6">
      <c r="C367" t="s">
        <v>102</v>
      </c>
      <c r="D367">
        <f>D362</f>
        <v>9999.99999999994</v>
      </c>
      <c r="E367">
        <f>D361</f>
        <v>0.234569870000002</v>
      </c>
      <c r="F367">
        <f>0</f>
        <v>0</v>
      </c>
    </row>
    <row r="368" spans="4:6">
      <c r="D368">
        <f>SQRT(D362^2+2*D$12*D362*COS(D363)+D$12^2)</f>
        <v>10178.6062944173</v>
      </c>
      <c r="E368">
        <f>D361*(D362+D$12*COS(D363))/D368</f>
        <v>0.234560536860442</v>
      </c>
      <c r="F368">
        <f>-D$12*D361*D362*SIN(D363)/D368</f>
        <v>20.9247689565475</v>
      </c>
    </row>
    <row r="369" spans="4:6">
      <c r="D369">
        <f>SQRT(D362^2+2*D$12*D362*SIN(D363)+D$12^2)</f>
        <v>9910.80410466477</v>
      </c>
      <c r="E369">
        <f>D361*(D362+D$12*SIN(D363))/D369</f>
        <v>0.234531948866281</v>
      </c>
      <c r="F369">
        <f>D$12*D361*D362*COS(D363)/D369</f>
        <v>42.1768571633111</v>
      </c>
    </row>
    <row r="370" spans="3:4">
      <c r="C370" t="s">
        <v>103</v>
      </c>
      <c r="D370">
        <f t="array" ref="D370">SUMPRODUCT(D361:D363,TRANSPOSE(D367:F367))</f>
        <v>4691.3974</v>
      </c>
    </row>
    <row r="371" spans="4:4">
      <c r="D371">
        <f t="array" ref="D371">SUMPRODUCT(D361:D363,TRANSPOSE(D368:F368))</f>
        <v>4723.33915880228</v>
      </c>
    </row>
    <row r="372" spans="4:4">
      <c r="D372">
        <f t="array" ref="D372">SUMPRODUCT(D361:D363,TRANSPOSE(D369:F369))</f>
        <v>4650.22014339712</v>
      </c>
    </row>
    <row r="373" spans="3:4">
      <c r="C373" t="s">
        <v>104</v>
      </c>
      <c r="D373">
        <f t="shared" ref="D373:D375" si="24">D370-D364</f>
        <v>4691.3974</v>
      </c>
    </row>
    <row r="374" spans="4:4">
      <c r="D374">
        <f t="shared" si="24"/>
        <v>4723.33915880228</v>
      </c>
    </row>
    <row r="375" spans="4:4">
      <c r="D375">
        <f t="shared" si="24"/>
        <v>4650.22014339712</v>
      </c>
    </row>
    <row r="376" spans="3:4">
      <c r="C376" t="s">
        <v>108</v>
      </c>
      <c r="D376">
        <f t="array" ref="D376:D378">lapack_dgesv(D367:F369,D373:D375)</f>
        <v>0.23456987</v>
      </c>
    </row>
    <row r="377" spans="4:4">
      <c r="D377">
        <v>10000</v>
      </c>
    </row>
    <row r="378" spans="4:4">
      <c r="D378">
        <v>-0.471238898038616</v>
      </c>
    </row>
    <row r="379" spans="3:7">
      <c r="C379" t="s">
        <v>101</v>
      </c>
      <c r="D379">
        <f>D376*D377-D$13</f>
        <v>0</v>
      </c>
      <c r="G379">
        <f>SQRT(D379^2+D380^2+D381^2)</f>
        <v>0</v>
      </c>
    </row>
    <row r="380" spans="4:7">
      <c r="D380">
        <f>D376*SQRT(D377^2+2*D$12*D377*COS(D378)+D$12^2)-D$14</f>
        <v>0</v>
      </c>
      <c r="G380" t="e">
        <f>G379/G364</f>
        <v>#DIV/0!</v>
      </c>
    </row>
    <row r="381" spans="4:4">
      <c r="D381">
        <f>D376*SQRT(D377^2+2*D$12*D377*SIN(D378)+D$12^2)-D$15</f>
        <v>0</v>
      </c>
    </row>
    <row r="382" spans="3:6">
      <c r="C382" t="s">
        <v>102</v>
      </c>
      <c r="D382">
        <f>D377</f>
        <v>10000</v>
      </c>
      <c r="E382">
        <f>D376</f>
        <v>0.23456987</v>
      </c>
      <c r="F382">
        <f>0</f>
        <v>0</v>
      </c>
    </row>
    <row r="383" spans="4:6">
      <c r="D383">
        <f>SQRT(D377^2+2*D$12*D377*COS(D378)+D$12^2)</f>
        <v>10178.6062944174</v>
      </c>
      <c r="E383">
        <f>D376*(D377+D$12*COS(D378))/D383</f>
        <v>0.23456053686044</v>
      </c>
      <c r="F383">
        <f>-D$12*D376*D377*SIN(D378)/D383</f>
        <v>20.9247689565474</v>
      </c>
    </row>
    <row r="384" spans="4:6">
      <c r="D384">
        <f>SQRT(D377^2+2*D$12*D377*SIN(D378)+D$12^2)</f>
        <v>9910.80410466484</v>
      </c>
      <c r="E384">
        <f>D376*(D377+D$12*SIN(D378))/D384</f>
        <v>0.23453194886628</v>
      </c>
      <c r="F384">
        <f>D$12*D376*D377*COS(D378)/D384</f>
        <v>42.1768571633108</v>
      </c>
    </row>
    <row r="385" spans="3:4">
      <c r="C385" t="s">
        <v>103</v>
      </c>
      <c r="D385">
        <f t="array" ref="D385">SUMPRODUCT(D376:D378,TRANSPOSE(D382:F382))</f>
        <v>4691.3974</v>
      </c>
    </row>
    <row r="386" spans="4:4">
      <c r="D386">
        <f t="array" ref="D386">SUMPRODUCT(D376:D378,TRANSPOSE(D383:F383))</f>
        <v>4723.33915880228</v>
      </c>
    </row>
    <row r="387" spans="4:4">
      <c r="D387">
        <f t="array" ref="D387">SUMPRODUCT(D376:D378,TRANSPOSE(D384:F384))</f>
        <v>4650.22014339712</v>
      </c>
    </row>
    <row r="388" spans="3:4">
      <c r="C388" t="s">
        <v>104</v>
      </c>
      <c r="D388">
        <f t="shared" ref="D388:D390" si="25">D385-D379</f>
        <v>4691.3974</v>
      </c>
    </row>
    <row r="389" spans="4:4">
      <c r="D389">
        <f t="shared" si="25"/>
        <v>4723.33915880228</v>
      </c>
    </row>
    <row r="390" spans="4:4">
      <c r="D390">
        <f t="shared" si="25"/>
        <v>4650.22014339712</v>
      </c>
    </row>
    <row r="391" spans="3:4">
      <c r="C391" t="s">
        <v>108</v>
      </c>
      <c r="D391">
        <f t="array" ref="D391:D393">lapack_dgesv(D382:F384,D388:D390)</f>
        <v>0.234569870000001</v>
      </c>
    </row>
    <row r="392" spans="4:4">
      <c r="D392">
        <v>9999.99999999997</v>
      </c>
    </row>
    <row r="393" spans="4:4">
      <c r="D393">
        <v>-0.471238898038613</v>
      </c>
    </row>
    <row r="394" spans="3:7">
      <c r="C394" t="s">
        <v>101</v>
      </c>
      <c r="D394">
        <f>D391*D392-D$13</f>
        <v>0</v>
      </c>
      <c r="G394">
        <f>SQRT(D394^2+D395^2+D396^2)</f>
        <v>0</v>
      </c>
    </row>
    <row r="395" spans="4:7">
      <c r="D395">
        <f>D391*SQRT(D392^2+2*D$12*D392*COS(D393)+D$12^2)-D$14</f>
        <v>0</v>
      </c>
      <c r="G395" t="e">
        <f>G394/G379</f>
        <v>#DIV/0!</v>
      </c>
    </row>
    <row r="396" spans="4:4">
      <c r="D396">
        <f>D391*SQRT(D392^2+2*D$12*D392*SIN(D393)+D$12^2)-D$15</f>
        <v>0</v>
      </c>
    </row>
    <row r="397" spans="3:6">
      <c r="C397" t="s">
        <v>102</v>
      </c>
      <c r="D397">
        <f>D392</f>
        <v>9999.99999999997</v>
      </c>
      <c r="E397">
        <f>D391</f>
        <v>0.234569870000001</v>
      </c>
      <c r="F397">
        <f>0</f>
        <v>0</v>
      </c>
    </row>
    <row r="398" spans="4:6">
      <c r="D398">
        <f>SQRT(D392^2+2*D$12*D392*COS(D393)+D$12^2)</f>
        <v>10178.6062944174</v>
      </c>
      <c r="E398">
        <f>D391*(D392+D$12*COS(D393))/D398</f>
        <v>0.234560536860441</v>
      </c>
      <c r="F398">
        <f>-D$12*D391*D392*SIN(D393)/D398</f>
        <v>20.9247689565473</v>
      </c>
    </row>
    <row r="399" spans="4:6">
      <c r="D399">
        <f>SQRT(D392^2+2*D$12*D392*SIN(D393)+D$12^2)</f>
        <v>9910.8041046648</v>
      </c>
      <c r="E399">
        <f>D391*(D392+D$12*SIN(D393))/D399</f>
        <v>0.23453194886628</v>
      </c>
      <c r="F399">
        <f>D$12*D391*D392*COS(D393)/D399</f>
        <v>42.176857163311</v>
      </c>
    </row>
    <row r="400" spans="3:4">
      <c r="C400" t="s">
        <v>103</v>
      </c>
      <c r="D400">
        <f t="array" ref="D400">SUMPRODUCT(D391:D393,TRANSPOSE(D397:F397))</f>
        <v>4691.3974</v>
      </c>
    </row>
    <row r="401" spans="4:4">
      <c r="D401">
        <f t="array" ref="D401">SUMPRODUCT(D391:D393,TRANSPOSE(D398:F398))</f>
        <v>4723.33915880228</v>
      </c>
    </row>
    <row r="402" spans="4:4">
      <c r="D402">
        <f t="array" ref="D402">SUMPRODUCT(D391:D393,TRANSPOSE(D399:F399))</f>
        <v>4650.22014339712</v>
      </c>
    </row>
    <row r="403" spans="3:4">
      <c r="C403" t="s">
        <v>104</v>
      </c>
      <c r="D403">
        <f t="shared" ref="D403:D405" si="26">D400-D394</f>
        <v>4691.3974</v>
      </c>
    </row>
    <row r="404" spans="4:4">
      <c r="D404">
        <f t="shared" si="26"/>
        <v>4723.33915880228</v>
      </c>
    </row>
    <row r="405" spans="4:4">
      <c r="D405">
        <f t="shared" si="26"/>
        <v>4650.22014339712</v>
      </c>
    </row>
    <row r="406" spans="3:4">
      <c r="C406" t="s">
        <v>108</v>
      </c>
      <c r="D406">
        <f t="array" ref="D406:D408">lapack_dgesv(D397:F399,D403:D405)</f>
        <v>0.23456987</v>
      </c>
    </row>
    <row r="407" spans="4:4">
      <c r="D407">
        <v>10000</v>
      </c>
    </row>
    <row r="408" spans="4:4">
      <c r="D408">
        <v>-0.471238898038606</v>
      </c>
    </row>
    <row r="409" spans="3:7">
      <c r="C409" t="s">
        <v>101</v>
      </c>
      <c r="D409">
        <f>D406*D407-D$13</f>
        <v>0</v>
      </c>
      <c r="G409">
        <f>SQRT(D409^2+D410^2+D411^2)</f>
        <v>0</v>
      </c>
    </row>
    <row r="410" spans="4:7">
      <c r="D410">
        <f>D406*SQRT(D407^2+2*D$12*D407*COS(D408)+D$12^2)-D$14</f>
        <v>0</v>
      </c>
      <c r="G410" t="e">
        <f>G409/G394</f>
        <v>#DIV/0!</v>
      </c>
    </row>
    <row r="411" spans="4:4">
      <c r="D411">
        <f>D406*SQRT(D407^2+2*D$12*D407*SIN(D408)+D$12^2)-D$15</f>
        <v>0</v>
      </c>
    </row>
    <row r="412" spans="3:6">
      <c r="C412" t="s">
        <v>102</v>
      </c>
      <c r="D412">
        <f>D407</f>
        <v>10000</v>
      </c>
      <c r="E412">
        <f>D406</f>
        <v>0.23456987</v>
      </c>
      <c r="F412">
        <f>0</f>
        <v>0</v>
      </c>
    </row>
    <row r="413" spans="4:6">
      <c r="D413">
        <f>SQRT(D407^2+2*D$12*D407*COS(D408)+D$12^2)</f>
        <v>10178.6062944174</v>
      </c>
      <c r="E413">
        <f>D406*(D407+D$12*COS(D408))/D413</f>
        <v>0.23456053686044</v>
      </c>
      <c r="F413">
        <f>-D$12*D406*D407*SIN(D408)/D413</f>
        <v>20.9247689565469</v>
      </c>
    </row>
    <row r="414" spans="4:6">
      <c r="D414">
        <f>SQRT(D407^2+2*D$12*D407*SIN(D408)+D$12^2)</f>
        <v>9910.80410466485</v>
      </c>
      <c r="E414">
        <f>D406*(D407+D$12*SIN(D408))/D414</f>
        <v>0.234531948866279</v>
      </c>
      <c r="F414">
        <f>D$12*D406*D407*COS(D408)/D414</f>
        <v>42.176857163311</v>
      </c>
    </row>
    <row r="415" spans="3:4">
      <c r="C415" t="s">
        <v>103</v>
      </c>
      <c r="D415">
        <f t="array" ref="D415">SUMPRODUCT(D406:D408,TRANSPOSE(D412:F412))</f>
        <v>4691.3974</v>
      </c>
    </row>
    <row r="416" spans="4:4">
      <c r="D416">
        <f t="array" ref="D416">SUMPRODUCT(D406:D408,TRANSPOSE(D413:F413))</f>
        <v>4723.33915880228</v>
      </c>
    </row>
    <row r="417" spans="4:4">
      <c r="D417">
        <f t="array" ref="D417">SUMPRODUCT(D406:D408,TRANSPOSE(D414:F414))</f>
        <v>4650.22014339712</v>
      </c>
    </row>
    <row r="418" spans="3:4">
      <c r="C418" t="s">
        <v>104</v>
      </c>
      <c r="D418">
        <f t="shared" ref="D418:D420" si="27">D415-D409</f>
        <v>4691.3974</v>
      </c>
    </row>
    <row r="419" spans="4:4">
      <c r="D419">
        <f t="shared" si="27"/>
        <v>4723.33915880228</v>
      </c>
    </row>
    <row r="420" spans="4:4">
      <c r="D420">
        <f t="shared" si="27"/>
        <v>4650.22014339712</v>
      </c>
    </row>
    <row r="421" spans="3:4">
      <c r="C421" t="s">
        <v>108</v>
      </c>
      <c r="D421">
        <f t="array" ref="D421:D423">lapack_dgesv(D412:F414,D418:D420)</f>
        <v>0.234569869999997</v>
      </c>
    </row>
    <row r="422" spans="4:4">
      <c r="D422">
        <v>10000.0000000001</v>
      </c>
    </row>
    <row r="423" spans="4:4">
      <c r="D423">
        <v>-0.471238898038631</v>
      </c>
    </row>
    <row r="424" spans="3:7">
      <c r="C424" t="s">
        <v>101</v>
      </c>
      <c r="D424">
        <f>D421*D422-D$13</f>
        <v>0</v>
      </c>
      <c r="G424">
        <f>SQRT(D424^2+D425^2+D426^2)</f>
        <v>0</v>
      </c>
    </row>
    <row r="425" spans="4:7">
      <c r="D425">
        <f>D421*SQRT(D422^2+2*D$12*D422*COS(D423)+D$12^2)-D$14</f>
        <v>0</v>
      </c>
      <c r="G425" t="e">
        <f>G424/G409</f>
        <v>#DIV/0!</v>
      </c>
    </row>
    <row r="426" spans="4:4">
      <c r="D426">
        <f>D421*SQRT(D422^2+2*D$12*D422*SIN(D423)+D$12^2)-D$15</f>
        <v>0</v>
      </c>
    </row>
    <row r="427" spans="3:6">
      <c r="C427" t="s">
        <v>102</v>
      </c>
      <c r="D427">
        <f>D422</f>
        <v>10000.0000000001</v>
      </c>
      <c r="E427">
        <f>D421</f>
        <v>0.234569869999997</v>
      </c>
      <c r="F427">
        <f>0</f>
        <v>0</v>
      </c>
    </row>
    <row r="428" spans="4:6">
      <c r="D428">
        <f>SQRT(D422^2+2*D$12*D422*COS(D423)+D$12^2)</f>
        <v>10178.6062944175</v>
      </c>
      <c r="E428">
        <f>D421*(D422+D$12*COS(D423))/D428</f>
        <v>0.234560536860438</v>
      </c>
      <c r="F428">
        <f>-D$12*D421*D422*SIN(D423)/D428</f>
        <v>20.9247689565478</v>
      </c>
    </row>
    <row r="429" spans="4:6">
      <c r="D429">
        <f>SQRT(D422^2+2*D$12*D422*SIN(D423)+D$12^2)</f>
        <v>9910.80410466496</v>
      </c>
      <c r="E429">
        <f>D421*(D422+D$12*SIN(D423))/D429</f>
        <v>0.234531948866277</v>
      </c>
      <c r="F429">
        <f>D$12*D421*D422*COS(D423)/D429</f>
        <v>42.17685716331</v>
      </c>
    </row>
    <row r="430" spans="3:4">
      <c r="C430" t="s">
        <v>103</v>
      </c>
      <c r="D430">
        <f t="array" ref="D430">SUMPRODUCT(D421:D423,TRANSPOSE(D427:F427))</f>
        <v>4691.39740000001</v>
      </c>
    </row>
    <row r="431" spans="4:4">
      <c r="D431">
        <f t="array" ref="D431">SUMPRODUCT(D421:D423,TRANSPOSE(D428:F428))</f>
        <v>4723.33915880228</v>
      </c>
    </row>
    <row r="432" spans="4:4">
      <c r="D432">
        <f t="array" ref="D432">SUMPRODUCT(D421:D423,TRANSPOSE(D429:F429))</f>
        <v>4650.22014339713</v>
      </c>
    </row>
    <row r="433" spans="3:4">
      <c r="C433" t="s">
        <v>104</v>
      </c>
      <c r="D433">
        <f t="shared" ref="D433:D435" si="28">D430-D424</f>
        <v>4691.39740000001</v>
      </c>
    </row>
    <row r="434" spans="4:4">
      <c r="D434">
        <f t="shared" si="28"/>
        <v>4723.33915880228</v>
      </c>
    </row>
    <row r="435" spans="4:4">
      <c r="D435">
        <f t="shared" si="28"/>
        <v>4650.22014339713</v>
      </c>
    </row>
    <row r="436" spans="3:4">
      <c r="C436" t="s">
        <v>108</v>
      </c>
      <c r="D436">
        <f t="array" ref="D436:D438">lapack_dgesv(D427:F429,D433:D435)</f>
        <v>0.234569869999992</v>
      </c>
    </row>
    <row r="437" spans="4:4">
      <c r="D437">
        <v>10000.0000000004</v>
      </c>
    </row>
    <row r="438" spans="4:4">
      <c r="D438">
        <v>-0.471238898038629</v>
      </c>
    </row>
    <row r="439" spans="3:7">
      <c r="C439" t="s">
        <v>101</v>
      </c>
      <c r="D439">
        <f>D436*D437-D$13</f>
        <v>0</v>
      </c>
      <c r="G439">
        <f>SQRT(D439^2+D440^2+D441^2)</f>
        <v>0</v>
      </c>
    </row>
    <row r="440" spans="4:7">
      <c r="D440">
        <f>D436*SQRT(D437^2+2*D$12*D437*COS(D438)+D$12^2)-D$14</f>
        <v>0</v>
      </c>
      <c r="G440" t="e">
        <f>G439/G424</f>
        <v>#DIV/0!</v>
      </c>
    </row>
    <row r="441" spans="4:4">
      <c r="D441">
        <f>D436*SQRT(D437^2+2*D$12*D437*SIN(D438)+D$12^2)-D$15</f>
        <v>0</v>
      </c>
    </row>
    <row r="442" spans="3:6">
      <c r="C442" t="s">
        <v>102</v>
      </c>
      <c r="D442">
        <f>D437</f>
        <v>10000.0000000004</v>
      </c>
      <c r="E442">
        <f>D436</f>
        <v>0.234569869999992</v>
      </c>
      <c r="F442">
        <f>0</f>
        <v>0</v>
      </c>
    </row>
    <row r="443" spans="4:6">
      <c r="D443">
        <f>SQRT(D437^2+2*D$12*D437*COS(D438)+D$12^2)</f>
        <v>10178.6062944177</v>
      </c>
      <c r="E443">
        <f>D436*(D437+D$12*COS(D438))/D443</f>
        <v>0.234560536860433</v>
      </c>
      <c r="F443">
        <f>-D$12*D436*D437*SIN(D438)/D443</f>
        <v>20.9247689565472</v>
      </c>
    </row>
    <row r="444" spans="4:6">
      <c r="D444">
        <f>SQRT(D437^2+2*D$12*D437*SIN(D438)+D$12^2)</f>
        <v>9910.80410466518</v>
      </c>
      <c r="E444">
        <f>D436*(D437+D$12*SIN(D438))/D444</f>
        <v>0.234531948866272</v>
      </c>
      <c r="F444">
        <f>D$12*D436*D437*COS(D438)/D444</f>
        <v>42.1768571633091</v>
      </c>
    </row>
    <row r="445" spans="3:4">
      <c r="C445" t="s">
        <v>103</v>
      </c>
      <c r="D445">
        <f t="array" ref="D445">SUMPRODUCT(D436:D438,TRANSPOSE(D442:F442))</f>
        <v>4691.39740000001</v>
      </c>
    </row>
    <row r="446" spans="4:4">
      <c r="D446">
        <f t="array" ref="D446">SUMPRODUCT(D436:D438,TRANSPOSE(D443:F443))</f>
        <v>4723.33915880228</v>
      </c>
    </row>
    <row r="447" spans="4:4">
      <c r="D447">
        <f t="array" ref="D447">SUMPRODUCT(D436:D438,TRANSPOSE(D444:F444))</f>
        <v>4650.22014339713</v>
      </c>
    </row>
    <row r="448" spans="3:4">
      <c r="C448" t="s">
        <v>104</v>
      </c>
      <c r="D448">
        <f t="shared" ref="D448:D450" si="29">D445-D439</f>
        <v>4691.39740000001</v>
      </c>
    </row>
    <row r="449" spans="4:4">
      <c r="D449">
        <f t="shared" si="29"/>
        <v>4723.33915880228</v>
      </c>
    </row>
    <row r="450" spans="4:4">
      <c r="D450">
        <f t="shared" si="29"/>
        <v>4650.22014339713</v>
      </c>
    </row>
    <row r="451" spans="3:4">
      <c r="C451" t="s">
        <v>108</v>
      </c>
      <c r="D451">
        <f t="array" ref="D451:D453">lapack_dgesv(D442:F444,D448:D450)</f>
        <v>0.234569869999992</v>
      </c>
    </row>
    <row r="452" spans="4:4">
      <c r="D452">
        <v>10000.0000000004</v>
      </c>
    </row>
    <row r="453" spans="4:4">
      <c r="D453">
        <v>-0.471238898038634</v>
      </c>
    </row>
    <row r="454" spans="3:7">
      <c r="C454" t="s">
        <v>101</v>
      </c>
      <c r="D454">
        <f>D451*D452-D$13</f>
        <v>0</v>
      </c>
      <c r="G454">
        <f>SQRT(D454^2+D455^2+D456^2)</f>
        <v>0</v>
      </c>
    </row>
    <row r="455" spans="4:7">
      <c r="D455">
        <f>D451*SQRT(D452^2+2*D$12*D452*COS(D453)+D$12^2)-D$14</f>
        <v>0</v>
      </c>
      <c r="G455" t="e">
        <f>G454/G439</f>
        <v>#DIV/0!</v>
      </c>
    </row>
    <row r="456" spans="4:4">
      <c r="D456">
        <f>D451*SQRT(D452^2+2*D$12*D452*SIN(D453)+D$12^2)-D$15</f>
        <v>0</v>
      </c>
    </row>
    <row r="457" spans="3:6">
      <c r="C457" t="s">
        <v>102</v>
      </c>
      <c r="D457">
        <f>D452</f>
        <v>10000.0000000004</v>
      </c>
      <c r="E457">
        <f>D451</f>
        <v>0.234569869999992</v>
      </c>
      <c r="F457">
        <f>0</f>
        <v>0</v>
      </c>
    </row>
    <row r="458" spans="4:6">
      <c r="D458">
        <f>SQRT(D452^2+2*D$12*D452*COS(D453)+D$12^2)</f>
        <v>10178.6062944177</v>
      </c>
      <c r="E458">
        <f>D451*(D452+D$12*COS(D453))/D458</f>
        <v>0.234560536860433</v>
      </c>
      <c r="F458">
        <f>-D$12*D451*D452*SIN(D453)/D458</f>
        <v>20.9247689565474</v>
      </c>
    </row>
    <row r="459" spans="4:6">
      <c r="D459">
        <f>SQRT(D452^2+2*D$12*D452*SIN(D453)+D$12^2)</f>
        <v>9910.80410466518</v>
      </c>
      <c r="E459">
        <f>D451*(D452+D$12*SIN(D453))/D459</f>
        <v>0.234531948866272</v>
      </c>
      <c r="F459">
        <f>D$12*D451*D452*COS(D453)/D459</f>
        <v>42.176857163309</v>
      </c>
    </row>
    <row r="460" spans="3:4">
      <c r="C460" t="s">
        <v>103</v>
      </c>
      <c r="D460">
        <f t="array" ref="D460">SUMPRODUCT(D451:D453,TRANSPOSE(D457:F457))</f>
        <v>4691.39740000001</v>
      </c>
    </row>
    <row r="461" spans="4:4">
      <c r="D461">
        <f t="array" ref="D461">SUMPRODUCT(D451:D453,TRANSPOSE(D458:F458))</f>
        <v>4723.33915880228</v>
      </c>
    </row>
    <row r="462" spans="4:4">
      <c r="D462">
        <f t="array" ref="D462">SUMPRODUCT(D451:D453,TRANSPOSE(D459:F459))</f>
        <v>4650.22014339713</v>
      </c>
    </row>
    <row r="463" spans="3:4">
      <c r="C463" t="s">
        <v>104</v>
      </c>
      <c r="D463">
        <f t="shared" ref="D463:D465" si="30">D460-D454</f>
        <v>4691.39740000001</v>
      </c>
    </row>
    <row r="464" spans="4:4">
      <c r="D464">
        <f t="shared" si="30"/>
        <v>4723.33915880228</v>
      </c>
    </row>
    <row r="465" spans="4:4">
      <c r="D465">
        <f t="shared" si="30"/>
        <v>4650.22014339713</v>
      </c>
    </row>
    <row r="466" spans="3:4">
      <c r="C466" t="s">
        <v>108</v>
      </c>
      <c r="D466">
        <f t="array" ref="D466:D468">lapack_dgesv(D457:F459,D463:D465)</f>
        <v>0.234569869999992</v>
      </c>
    </row>
    <row r="467" spans="4:4">
      <c r="D467">
        <v>10000.0000000004</v>
      </c>
    </row>
    <row r="468" spans="4:4">
      <c r="D468">
        <v>-0.471238898038615</v>
      </c>
    </row>
    <row r="469" spans="3:7">
      <c r="C469" t="s">
        <v>101</v>
      </c>
      <c r="D469">
        <f>D466*D467-D$13</f>
        <v>0</v>
      </c>
      <c r="G469">
        <f>SQRT(D469^2+D470^2+D471^2)</f>
        <v>0</v>
      </c>
    </row>
    <row r="470" spans="4:7">
      <c r="D470">
        <f>D466*SQRT(D467^2+2*D$12*D467*COS(D468)+D$12^2)-D$14</f>
        <v>0</v>
      </c>
      <c r="G470" t="e">
        <f>G469/G454</f>
        <v>#DIV/0!</v>
      </c>
    </row>
    <row r="471" spans="4:4">
      <c r="D471">
        <f>D466*SQRT(D467^2+2*D$12*D467*SIN(D468)+D$12^2)-D$15</f>
        <v>0</v>
      </c>
    </row>
    <row r="472" spans="3:6">
      <c r="C472" t="s">
        <v>102</v>
      </c>
      <c r="D472">
        <f>D467</f>
        <v>10000.0000000004</v>
      </c>
      <c r="E472">
        <f>D466</f>
        <v>0.234569869999992</v>
      </c>
      <c r="F472">
        <f>0</f>
        <v>0</v>
      </c>
    </row>
    <row r="473" spans="4:6">
      <c r="D473">
        <f>SQRT(D467^2+2*D$12*D467*COS(D468)+D$12^2)</f>
        <v>10178.6062944177</v>
      </c>
      <c r="E473">
        <f>D466*(D467+D$12*COS(D468))/D473</f>
        <v>0.234560536860432</v>
      </c>
      <c r="F473">
        <f>-D$12*D466*D467*SIN(D468)/D473</f>
        <v>20.9247689565466</v>
      </c>
    </row>
    <row r="474" spans="4:6">
      <c r="D474">
        <f>SQRT(D467^2+2*D$12*D467*SIN(D468)+D$12^2)</f>
        <v>9910.80410466519</v>
      </c>
      <c r="E474">
        <f>D466*(D467+D$12*SIN(D468))/D474</f>
        <v>0.234531948866271</v>
      </c>
      <c r="F474">
        <f>D$12*D466*D467*COS(D468)/D474</f>
        <v>42.1768571633094</v>
      </c>
    </row>
    <row r="475" spans="3:4">
      <c r="C475" t="s">
        <v>103</v>
      </c>
      <c r="D475">
        <f t="array" ref="D475">SUMPRODUCT(D466:D468,TRANSPOSE(D472:F472))</f>
        <v>4691.39740000001</v>
      </c>
    </row>
    <row r="476" spans="4:4">
      <c r="D476">
        <f t="array" ref="D476">SUMPRODUCT(D466:D468,TRANSPOSE(D473:F473))</f>
        <v>4723.33915880228</v>
      </c>
    </row>
    <row r="477" spans="4:4">
      <c r="D477">
        <f t="array" ref="D477">SUMPRODUCT(D466:D468,TRANSPOSE(D474:F474))</f>
        <v>4650.22014339713</v>
      </c>
    </row>
    <row r="478" spans="3:4">
      <c r="C478" t="s">
        <v>104</v>
      </c>
      <c r="D478">
        <f t="shared" ref="D478:D480" si="31">D475-D469</f>
        <v>4691.39740000001</v>
      </c>
    </row>
    <row r="479" spans="4:4">
      <c r="D479">
        <f t="shared" si="31"/>
        <v>4723.33915880228</v>
      </c>
    </row>
    <row r="480" spans="4:4">
      <c r="D480">
        <f t="shared" si="31"/>
        <v>4650.22014339713</v>
      </c>
    </row>
    <row r="481" spans="3:4">
      <c r="C481" t="s">
        <v>108</v>
      </c>
      <c r="D481">
        <f t="array" ref="D481:D483">lapack_dgesv(D472:F474,D478:D480)</f>
        <v>0.234569869999988</v>
      </c>
    </row>
    <row r="482" spans="4:4">
      <c r="D482">
        <v>10000.0000000005</v>
      </c>
    </row>
    <row r="483" spans="4:4">
      <c r="D483">
        <v>-0.471238898038622</v>
      </c>
    </row>
    <row r="484" spans="3:7">
      <c r="C484" t="s">
        <v>101</v>
      </c>
      <c r="D484">
        <f>D481*D482-D$13</f>
        <v>0</v>
      </c>
      <c r="G484">
        <f>SQRT(D484^2+D485^2+D486^2)</f>
        <v>0</v>
      </c>
    </row>
    <row r="485" spans="4:7">
      <c r="D485">
        <f>D481*SQRT(D482^2+2*D$12*D482*COS(D483)+D$12^2)-D$14</f>
        <v>0</v>
      </c>
      <c r="G485" t="e">
        <f>G484/G469</f>
        <v>#DIV/0!</v>
      </c>
    </row>
    <row r="486" spans="4:4">
      <c r="D486">
        <f>D481*SQRT(D482^2+2*D$12*D482*SIN(D483)+D$12^2)-D$15</f>
        <v>0</v>
      </c>
    </row>
    <row r="487" spans="3:6">
      <c r="C487" t="s">
        <v>102</v>
      </c>
      <c r="D487">
        <f>D482</f>
        <v>10000.0000000005</v>
      </c>
      <c r="E487">
        <f>D481</f>
        <v>0.234569869999988</v>
      </c>
      <c r="F487">
        <f>0</f>
        <v>0</v>
      </c>
    </row>
    <row r="488" spans="4:6">
      <c r="D488">
        <f>SQRT(D482^2+2*D$12*D482*COS(D483)+D$12^2)</f>
        <v>10178.6062944179</v>
      </c>
      <c r="E488">
        <f>D481*(D482+D$12*COS(D483))/D488</f>
        <v>0.234560536860428</v>
      </c>
      <c r="F488">
        <f>-D$12*D481*D482*SIN(D483)/D488</f>
        <v>20.9247689565465</v>
      </c>
    </row>
    <row r="489" spans="4:6">
      <c r="D489">
        <f>SQRT(D482^2+2*D$12*D482*SIN(D483)+D$12^2)</f>
        <v>9910.80410466538</v>
      </c>
      <c r="E489">
        <f>D481*(D482+D$12*SIN(D483))/D489</f>
        <v>0.234531948866267</v>
      </c>
      <c r="F489">
        <f>D$12*D481*D482*COS(D483)/D489</f>
        <v>42.1768571633084</v>
      </c>
    </row>
    <row r="490" spans="3:4">
      <c r="C490" t="s">
        <v>103</v>
      </c>
      <c r="D490">
        <f t="array" ref="D490">SUMPRODUCT(D481:D483,TRANSPOSE(D487:F487))</f>
        <v>4691.39740000001</v>
      </c>
    </row>
    <row r="491" spans="4:4">
      <c r="D491">
        <f t="array" ref="D491">SUMPRODUCT(D481:D483,TRANSPOSE(D488:F488))</f>
        <v>4723.33915880228</v>
      </c>
    </row>
    <row r="492" spans="4:4">
      <c r="D492">
        <f t="array" ref="D492">SUMPRODUCT(D481:D483,TRANSPOSE(D489:F489))</f>
        <v>4650.22014339713</v>
      </c>
    </row>
    <row r="493" spans="3:4">
      <c r="C493" t="s">
        <v>104</v>
      </c>
      <c r="D493">
        <f t="shared" ref="D493:D495" si="32">D490-D484</f>
        <v>4691.39740000001</v>
      </c>
    </row>
    <row r="494" spans="4:4">
      <c r="D494">
        <f t="shared" si="32"/>
        <v>4723.33915880228</v>
      </c>
    </row>
    <row r="495" spans="4:4">
      <c r="D495">
        <f t="shared" si="32"/>
        <v>4650.22014339713</v>
      </c>
    </row>
    <row r="496" spans="3:4">
      <c r="C496" t="s">
        <v>108</v>
      </c>
      <c r="D496">
        <f t="array" ref="D496:D498">lapack_dgesv(D487:F489,D493:D495)</f>
        <v>0.234569869999984</v>
      </c>
    </row>
    <row r="497" spans="4:4">
      <c r="D497">
        <v>10000.0000000007</v>
      </c>
    </row>
    <row r="498" spans="4:4">
      <c r="D498">
        <v>-0.471238898038631</v>
      </c>
    </row>
    <row r="499" spans="3:7">
      <c r="C499" t="s">
        <v>101</v>
      </c>
      <c r="D499">
        <f>D496*D497-D$13</f>
        <v>3.63797880709171e-12</v>
      </c>
      <c r="G499">
        <f>SQRT(D499^2+D500^2+D501^2)</f>
        <v>3.63797880709171e-12</v>
      </c>
    </row>
    <row r="500" spans="4:7">
      <c r="D500">
        <f>D496*SQRT(D497^2+2*D$12*D497*COS(D498)+D$12^2)-D$14</f>
        <v>0</v>
      </c>
      <c r="G500" t="e">
        <f>G499/G484</f>
        <v>#DIV/0!</v>
      </c>
    </row>
    <row r="501" spans="4:4">
      <c r="D501">
        <f>D496*SQRT(D497^2+2*D$12*D497*SIN(D498)+D$12^2)-D$15</f>
        <v>0</v>
      </c>
    </row>
    <row r="502" spans="3:6">
      <c r="C502" t="s">
        <v>102</v>
      </c>
      <c r="D502">
        <f>D497</f>
        <v>10000.0000000007</v>
      </c>
      <c r="E502">
        <f>D496</f>
        <v>0.234569869999984</v>
      </c>
      <c r="F502">
        <f>0</f>
        <v>0</v>
      </c>
    </row>
    <row r="503" spans="4:6">
      <c r="D503">
        <f>SQRT(D497^2+2*D$12*D497*COS(D498)+D$12^2)</f>
        <v>10178.6062944181</v>
      </c>
      <c r="E503">
        <f>D496*(D497+D$12*COS(D498))/D503</f>
        <v>0.234560536860424</v>
      </c>
      <c r="F503">
        <f>-D$12*D496*D497*SIN(D498)/D503</f>
        <v>20.9247689565466</v>
      </c>
    </row>
    <row r="504" spans="4:6">
      <c r="D504">
        <f>SQRT(D497^2+2*D$12*D497*SIN(D498)+D$12^2)</f>
        <v>9910.80410466554</v>
      </c>
      <c r="E504">
        <f>D496*(D497+D$12*SIN(D498))/D504</f>
        <v>0.234531948866263</v>
      </c>
      <c r="F504">
        <f>D$12*D496*D497*COS(D498)/D504</f>
        <v>42.1768571633075</v>
      </c>
    </row>
    <row r="505" spans="3:4">
      <c r="C505" t="s">
        <v>103</v>
      </c>
      <c r="D505">
        <f t="array" ref="D505">SUMPRODUCT(D496:D498,TRANSPOSE(D502:F502))</f>
        <v>4691.39740000001</v>
      </c>
    </row>
    <row r="506" spans="4:4">
      <c r="D506">
        <f t="array" ref="D506">SUMPRODUCT(D496:D498,TRANSPOSE(D503:F503))</f>
        <v>4723.33915880228</v>
      </c>
    </row>
    <row r="507" spans="4:4">
      <c r="D507">
        <f t="array" ref="D507">SUMPRODUCT(D496:D498,TRANSPOSE(D504:F504))</f>
        <v>4650.22014339713</v>
      </c>
    </row>
    <row r="508" spans="3:4">
      <c r="C508" t="s">
        <v>104</v>
      </c>
      <c r="D508">
        <f t="shared" ref="D508:D510" si="33">D505-D499</f>
        <v>4691.3974</v>
      </c>
    </row>
    <row r="509" spans="4:4">
      <c r="D509">
        <f t="shared" si="33"/>
        <v>4723.33915880228</v>
      </c>
    </row>
    <row r="510" spans="4:4">
      <c r="D510">
        <f t="shared" si="33"/>
        <v>4650.22014339713</v>
      </c>
    </row>
    <row r="511" spans="3:4">
      <c r="C511" t="s">
        <v>108</v>
      </c>
      <c r="D511">
        <f t="array" ref="D511:D513">lapack_dgesv(D502:F504,D508:D510)</f>
        <v>0.23456986999999</v>
      </c>
    </row>
    <row r="512" spans="4:4">
      <c r="D512">
        <v>10000.0000000004</v>
      </c>
    </row>
    <row r="513" spans="4:4">
      <c r="D513">
        <v>-0.471238898038512</v>
      </c>
    </row>
    <row r="514" spans="3:7">
      <c r="C514" t="s">
        <v>101</v>
      </c>
      <c r="D514">
        <f>D511*D512-D$13</f>
        <v>0</v>
      </c>
      <c r="G514">
        <f>SQRT(D514^2+D515^2+D516^2)</f>
        <v>0</v>
      </c>
    </row>
    <row r="515" spans="4:7">
      <c r="D515">
        <f>D511*SQRT(D512^2+2*D$12*D512*COS(D513)+D$12^2)-D$14</f>
        <v>0</v>
      </c>
      <c r="G515">
        <f>G514/G499</f>
        <v>0</v>
      </c>
    </row>
    <row r="516" spans="4:4">
      <c r="D516">
        <f>D511*SQRT(D512^2+2*D$12*D512*SIN(D513)+D$12^2)-D$15</f>
        <v>0</v>
      </c>
    </row>
    <row r="517" spans="3:6">
      <c r="C517" t="s">
        <v>102</v>
      </c>
      <c r="D517">
        <f>D512</f>
        <v>10000.0000000004</v>
      </c>
      <c r="E517">
        <f>D511</f>
        <v>0.23456986999999</v>
      </c>
      <c r="F517">
        <f>0</f>
        <v>0</v>
      </c>
    </row>
    <row r="518" spans="4:6">
      <c r="D518">
        <f>SQRT(D512^2+2*D$12*D512*COS(D513)+D$12^2)</f>
        <v>10178.6062944178</v>
      </c>
      <c r="E518">
        <f>D511*(D512+D$12*COS(D513))/D518</f>
        <v>0.234560536860431</v>
      </c>
      <c r="F518">
        <f>-D$12*D511*D512*SIN(D513)/D518</f>
        <v>20.9247689565422</v>
      </c>
    </row>
    <row r="519" spans="4:6">
      <c r="D519">
        <f>SQRT(D512^2+2*D$12*D512*SIN(D513)+D$12^2)</f>
        <v>9910.80410466526</v>
      </c>
      <c r="E519">
        <f>D511*(D512+D$12*SIN(D513))/D519</f>
        <v>0.23453194886627</v>
      </c>
      <c r="F519">
        <f>D$12*D511*D512*COS(D513)/D519</f>
        <v>42.1768571633113</v>
      </c>
    </row>
    <row r="520" spans="3:4">
      <c r="C520" t="s">
        <v>103</v>
      </c>
      <c r="D520">
        <f t="array" ref="D520">SUMPRODUCT(D511:D513,TRANSPOSE(D517:F517))</f>
        <v>4691.3974</v>
      </c>
    </row>
    <row r="521" spans="4:4">
      <c r="D521">
        <f t="array" ref="D521">SUMPRODUCT(D511:D513,TRANSPOSE(D518:F518))</f>
        <v>4723.33915880228</v>
      </c>
    </row>
    <row r="522" spans="4:4">
      <c r="D522">
        <f t="array" ref="D522">SUMPRODUCT(D511:D513,TRANSPOSE(D519:F519))</f>
        <v>4650.22014339713</v>
      </c>
    </row>
    <row r="523" spans="3:4">
      <c r="C523" t="s">
        <v>104</v>
      </c>
      <c r="D523">
        <f t="shared" ref="D523:D525" si="34">D520-D514</f>
        <v>4691.3974</v>
      </c>
    </row>
    <row r="524" spans="4:4">
      <c r="D524">
        <f t="shared" si="34"/>
        <v>4723.33915880228</v>
      </c>
    </row>
    <row r="525" spans="4:4">
      <c r="D525">
        <f t="shared" si="34"/>
        <v>4650.22014339713</v>
      </c>
    </row>
    <row r="526" spans="3:4">
      <c r="C526" t="s">
        <v>108</v>
      </c>
      <c r="D526">
        <f t="array" ref="D526:D528">lapack_dgesv(D517:F519,D523:D525)</f>
        <v>0.234569869999985</v>
      </c>
    </row>
    <row r="527" spans="4:4">
      <c r="D527">
        <v>10000.0000000006</v>
      </c>
    </row>
    <row r="528" spans="4:4">
      <c r="D528">
        <v>-0.471238898038523</v>
      </c>
    </row>
    <row r="529" spans="3:7">
      <c r="C529" t="s">
        <v>101</v>
      </c>
      <c r="D529">
        <f>D526*D527-D$13</f>
        <v>0</v>
      </c>
      <c r="G529">
        <f>SQRT(D529^2+D530^2+D531^2)</f>
        <v>0</v>
      </c>
    </row>
    <row r="530" spans="4:7">
      <c r="D530">
        <f>D526*SQRT(D527^2+2*D$12*D527*COS(D528)+D$12^2)-D$14</f>
        <v>0</v>
      </c>
      <c r="G530" t="e">
        <f>G529/G514</f>
        <v>#DIV/0!</v>
      </c>
    </row>
    <row r="531" spans="4:4">
      <c r="D531">
        <f>D526*SQRT(D527^2+2*D$12*D527*SIN(D528)+D$12^2)-D$15</f>
        <v>0</v>
      </c>
    </row>
    <row r="532" spans="3:6">
      <c r="C532" t="s">
        <v>102</v>
      </c>
      <c r="D532">
        <f>D527</f>
        <v>10000.0000000006</v>
      </c>
      <c r="E532">
        <f>D526</f>
        <v>0.234569869999985</v>
      </c>
      <c r="F532">
        <f>0</f>
        <v>0</v>
      </c>
    </row>
    <row r="533" spans="4:6">
      <c r="D533">
        <f>SQRT(D527^2+2*D$12*D527*COS(D528)+D$12^2)</f>
        <v>10178.606294418</v>
      </c>
      <c r="E533">
        <f>D526*(D527+D$12*COS(D528))/D533</f>
        <v>0.234560536860426</v>
      </c>
      <c r="F533">
        <f>-D$12*D526*D527*SIN(D528)/D533</f>
        <v>20.9247689565422</v>
      </c>
    </row>
    <row r="534" spans="4:6">
      <c r="D534">
        <f>SQRT(D527^2+2*D$12*D527*SIN(D528)+D$12^2)</f>
        <v>9910.80410466548</v>
      </c>
      <c r="E534">
        <f>D526*(D527+D$12*SIN(D528))/D534</f>
        <v>0.234531948866265</v>
      </c>
      <c r="F534">
        <f>D$12*D526*D527*COS(D528)/D534</f>
        <v>42.1768571633101</v>
      </c>
    </row>
    <row r="535" spans="3:4">
      <c r="C535" t="s">
        <v>103</v>
      </c>
      <c r="D535">
        <f t="array" ref="D535">SUMPRODUCT(D526:D528,TRANSPOSE(D532:F532))</f>
        <v>4691.3974</v>
      </c>
    </row>
    <row r="536" spans="4:4">
      <c r="D536">
        <f t="array" ref="D536">SUMPRODUCT(D526:D528,TRANSPOSE(D533:F533))</f>
        <v>4723.33915880228</v>
      </c>
    </row>
    <row r="537" spans="4:4">
      <c r="D537">
        <f t="array" ref="D537">SUMPRODUCT(D526:D528,TRANSPOSE(D534:F534))</f>
        <v>4650.22014339713</v>
      </c>
    </row>
    <row r="538" spans="3:4">
      <c r="C538" t="s">
        <v>104</v>
      </c>
      <c r="D538">
        <f t="shared" ref="D538:D540" si="35">D535-D529</f>
        <v>4691.3974</v>
      </c>
    </row>
    <row r="539" spans="4:4">
      <c r="D539">
        <f t="shared" si="35"/>
        <v>4723.33915880228</v>
      </c>
    </row>
    <row r="540" spans="4:4">
      <c r="D540">
        <f t="shared" si="35"/>
        <v>4650.22014339713</v>
      </c>
    </row>
    <row r="541" spans="3:4">
      <c r="C541" t="s">
        <v>108</v>
      </c>
      <c r="D541">
        <f t="array" ref="D541:D543">lapack_dgesv(D532:F534,D538:D540)</f>
        <v>0.234569869999983</v>
      </c>
    </row>
    <row r="542" spans="4:4">
      <c r="D542">
        <v>10000.0000000007</v>
      </c>
    </row>
    <row r="543" spans="4:4">
      <c r="D543">
        <v>-0.471238898038516</v>
      </c>
    </row>
    <row r="544" spans="3:7">
      <c r="C544" t="s">
        <v>101</v>
      </c>
      <c r="D544">
        <f>D541*D542-D$13</f>
        <v>0</v>
      </c>
      <c r="G544">
        <f>SQRT(D544^2+D545^2+D546^2)</f>
        <v>0</v>
      </c>
    </row>
    <row r="545" spans="4:7">
      <c r="D545">
        <f>D541*SQRT(D542^2+2*D$12*D542*COS(D543)+D$12^2)-D$14</f>
        <v>0</v>
      </c>
      <c r="G545" t="e">
        <f>G544/G529</f>
        <v>#DIV/0!</v>
      </c>
    </row>
    <row r="546" spans="4:4">
      <c r="D546">
        <f>D541*SQRT(D542^2+2*D$12*D542*SIN(D543)+D$12^2)-D$15</f>
        <v>0</v>
      </c>
    </row>
    <row r="547" spans="3:6">
      <c r="C547" t="s">
        <v>102</v>
      </c>
      <c r="D547">
        <f>D542</f>
        <v>10000.0000000007</v>
      </c>
      <c r="E547">
        <f>D541</f>
        <v>0.234569869999983</v>
      </c>
      <c r="F547">
        <f>0</f>
        <v>0</v>
      </c>
    </row>
    <row r="548" spans="4:6">
      <c r="D548">
        <f>SQRT(D542^2+2*D$12*D542*COS(D543)+D$12^2)</f>
        <v>10178.6062944181</v>
      </c>
      <c r="E548">
        <f>D541*(D542+D$12*COS(D543))/D548</f>
        <v>0.234560536860424</v>
      </c>
      <c r="F548">
        <f>-D$12*D541*D542*SIN(D543)/D548</f>
        <v>20.9247689565418</v>
      </c>
    </row>
    <row r="549" spans="4:6">
      <c r="D549">
        <f>SQRT(D542^2+2*D$12*D542*SIN(D543)+D$12^2)</f>
        <v>9910.80410466557</v>
      </c>
      <c r="E549">
        <f>D541*(D542+D$12*SIN(D543))/D549</f>
        <v>0.234531948866263</v>
      </c>
      <c r="F549">
        <f>D$12*D541*D542*COS(D543)/D549</f>
        <v>42.1768571633098</v>
      </c>
    </row>
    <row r="550" spans="3:4">
      <c r="C550" t="s">
        <v>103</v>
      </c>
      <c r="D550">
        <f t="array" ref="D550">SUMPRODUCT(D541:D543,TRANSPOSE(D547:F547))</f>
        <v>4691.3974</v>
      </c>
    </row>
    <row r="551" spans="4:4">
      <c r="D551">
        <f t="array" ref="D551">SUMPRODUCT(D541:D543,TRANSPOSE(D548:F548))</f>
        <v>4723.33915880228</v>
      </c>
    </row>
    <row r="552" spans="4:4">
      <c r="D552">
        <f t="array" ref="D552">SUMPRODUCT(D541:D543,TRANSPOSE(D549:F549))</f>
        <v>4650.22014339713</v>
      </c>
    </row>
    <row r="553" spans="3:4">
      <c r="C553" t="s">
        <v>104</v>
      </c>
      <c r="D553">
        <f t="shared" ref="D553:D555" si="36">D550-D544</f>
        <v>4691.3974</v>
      </c>
    </row>
    <row r="554" spans="4:4">
      <c r="D554">
        <f t="shared" si="36"/>
        <v>4723.33915880228</v>
      </c>
    </row>
    <row r="555" spans="4:4">
      <c r="D555">
        <f t="shared" si="36"/>
        <v>4650.22014339713</v>
      </c>
    </row>
    <row r="556" spans="3:4">
      <c r="C556" t="s">
        <v>108</v>
      </c>
      <c r="D556">
        <f t="array" ref="D556:D558">lapack_dgesv(D547:F549,D553:D555)</f>
        <v>0.234569869999982</v>
      </c>
    </row>
    <row r="557" spans="4:4">
      <c r="D557">
        <v>10000.0000000008</v>
      </c>
    </row>
    <row r="558" spans="4:4">
      <c r="D558">
        <v>-0.471238898038523</v>
      </c>
    </row>
    <row r="559" spans="3:7">
      <c r="C559" t="s">
        <v>101</v>
      </c>
      <c r="D559">
        <f>D556*D557-D$13</f>
        <v>0</v>
      </c>
      <c r="G559">
        <f>SQRT(D559^2+D560^2+D561^2)</f>
        <v>0</v>
      </c>
    </row>
    <row r="560" spans="4:7">
      <c r="D560">
        <f>D556*SQRT(D557^2+2*D$12*D557*COS(D558)+D$12^2)-D$14</f>
        <v>0</v>
      </c>
      <c r="G560" t="e">
        <f>G559/G544</f>
        <v>#DIV/0!</v>
      </c>
    </row>
    <row r="561" spans="4:4">
      <c r="D561">
        <f>D556*SQRT(D557^2+2*D$12*D557*SIN(D558)+D$12^2)-D$15</f>
        <v>0</v>
      </c>
    </row>
    <row r="562" spans="3:6">
      <c r="C562" t="s">
        <v>102</v>
      </c>
      <c r="D562">
        <f>D557</f>
        <v>10000.0000000008</v>
      </c>
      <c r="E562">
        <f>D556</f>
        <v>0.234569869999982</v>
      </c>
      <c r="F562">
        <f>0</f>
        <v>0</v>
      </c>
    </row>
    <row r="563" spans="4:6">
      <c r="D563">
        <f>SQRT(D557^2+2*D$12*D557*COS(D558)+D$12^2)</f>
        <v>10178.6062944182</v>
      </c>
      <c r="E563">
        <f>D556*(D557+D$12*COS(D558))/D563</f>
        <v>0.234560536860423</v>
      </c>
      <c r="F563">
        <f>-D$12*D556*D557*SIN(D558)/D563</f>
        <v>20.9247689565419</v>
      </c>
    </row>
    <row r="564" spans="4:6">
      <c r="D564">
        <f>SQRT(D557^2+2*D$12*D557*SIN(D558)+D$12^2)</f>
        <v>9910.80410466561</v>
      </c>
      <c r="E564">
        <f>D556*(D557+D$12*SIN(D558))/D564</f>
        <v>0.234531948866262</v>
      </c>
      <c r="F564">
        <f>D$12*D556*D557*COS(D558)/D564</f>
        <v>42.1768571633095</v>
      </c>
    </row>
    <row r="565" spans="3:4">
      <c r="C565" t="s">
        <v>103</v>
      </c>
      <c r="D565">
        <f t="array" ref="D565">SUMPRODUCT(D556:D558,TRANSPOSE(D562:F562))</f>
        <v>4691.3974</v>
      </c>
    </row>
    <row r="566" spans="4:4">
      <c r="D566">
        <f t="array" ref="D566">SUMPRODUCT(D556:D558,TRANSPOSE(D563:F563))</f>
        <v>4723.33915880228</v>
      </c>
    </row>
    <row r="567" spans="4:4">
      <c r="D567">
        <f t="array" ref="D567">SUMPRODUCT(D556:D558,TRANSPOSE(D564:F564))</f>
        <v>4650.22014339713</v>
      </c>
    </row>
    <row r="568" spans="3:4">
      <c r="C568" t="s">
        <v>104</v>
      </c>
      <c r="D568">
        <f t="shared" ref="D568:D570" si="37">D565-D559</f>
        <v>4691.3974</v>
      </c>
    </row>
    <row r="569" spans="4:4">
      <c r="D569">
        <f t="shared" si="37"/>
        <v>4723.33915880228</v>
      </c>
    </row>
    <row r="570" spans="4:4">
      <c r="D570">
        <f t="shared" si="37"/>
        <v>4650.22014339713</v>
      </c>
    </row>
    <row r="571" spans="3:4">
      <c r="C571" t="s">
        <v>108</v>
      </c>
      <c r="D571">
        <f t="array" ref="D571:D573">lapack_dgesv(D562:F564,D568:D570)</f>
        <v>0.234569869999982</v>
      </c>
    </row>
    <row r="572" spans="4:4">
      <c r="D572">
        <v>10000.0000000008</v>
      </c>
    </row>
    <row r="573" spans="4:4">
      <c r="D573">
        <v>-0.471238898038503</v>
      </c>
    </row>
    <row r="574" spans="3:7">
      <c r="C574" t="s">
        <v>101</v>
      </c>
      <c r="D574">
        <f>D571*D572-D$13</f>
        <v>0</v>
      </c>
      <c r="G574">
        <f>SQRT(D574^2+D575^2+D576^2)</f>
        <v>0</v>
      </c>
    </row>
    <row r="575" spans="4:7">
      <c r="D575">
        <f>D571*SQRT(D572^2+2*D$12*D572*COS(D573)+D$12^2)-D$14</f>
        <v>0</v>
      </c>
      <c r="G575" t="e">
        <f>G574/G559</f>
        <v>#DIV/0!</v>
      </c>
    </row>
    <row r="576" spans="4:4">
      <c r="D576">
        <f>D571*SQRT(D572^2+2*D$12*D572*SIN(D573)+D$12^2)-D$15</f>
        <v>0</v>
      </c>
    </row>
    <row r="577" spans="3:6">
      <c r="C577" t="s">
        <v>102</v>
      </c>
      <c r="D577">
        <f>D572</f>
        <v>10000.0000000008</v>
      </c>
      <c r="E577">
        <f>D571</f>
        <v>0.234569869999982</v>
      </c>
      <c r="F577">
        <f>0</f>
        <v>0</v>
      </c>
    </row>
    <row r="578" spans="4:6">
      <c r="D578">
        <f>SQRT(D572^2+2*D$12*D572*COS(D573)+D$12^2)</f>
        <v>10178.6062944181</v>
      </c>
      <c r="E578">
        <f>D571*(D572+D$12*COS(D573))/D578</f>
        <v>0.234560536860423</v>
      </c>
      <c r="F578">
        <f>-D$12*D571*D572*SIN(D573)/D578</f>
        <v>20.9247689565412</v>
      </c>
    </row>
    <row r="579" spans="4:6">
      <c r="D579">
        <f>SQRT(D572^2+2*D$12*D572*SIN(D573)+D$12^2)</f>
        <v>9910.8041046656</v>
      </c>
      <c r="E579">
        <f>D571*(D572+D$12*SIN(D573))/D579</f>
        <v>0.234531948866262</v>
      </c>
      <c r="F579">
        <f>D$12*D571*D572*COS(D573)/D579</f>
        <v>42.17685716331</v>
      </c>
    </row>
    <row r="580" spans="3:4">
      <c r="C580" t="s">
        <v>103</v>
      </c>
      <c r="D580">
        <f t="array" ref="D580">SUMPRODUCT(D571:D573,TRANSPOSE(D577:F577))</f>
        <v>4691.3974</v>
      </c>
    </row>
    <row r="581" spans="4:4">
      <c r="D581">
        <f t="array" ref="D581">SUMPRODUCT(D571:D573,TRANSPOSE(D578:F578))</f>
        <v>4723.33915880228</v>
      </c>
    </row>
    <row r="582" spans="4:4">
      <c r="D582">
        <f t="array" ref="D582">SUMPRODUCT(D571:D573,TRANSPOSE(D579:F579))</f>
        <v>4650.22014339713</v>
      </c>
    </row>
    <row r="583" spans="3:4">
      <c r="C583" t="s">
        <v>104</v>
      </c>
      <c r="D583">
        <f t="shared" ref="D583:D585" si="38">D580-D574</f>
        <v>4691.3974</v>
      </c>
    </row>
    <row r="584" spans="4:4">
      <c r="D584">
        <f t="shared" si="38"/>
        <v>4723.33915880228</v>
      </c>
    </row>
    <row r="585" spans="4:4">
      <c r="D585">
        <f t="shared" si="38"/>
        <v>4650.22014339713</v>
      </c>
    </row>
    <row r="586" spans="3:4">
      <c r="C586" t="s">
        <v>108</v>
      </c>
      <c r="D586">
        <f t="array" ref="D586:D588">lapack_dgesv(D577:F579,D583:D585)</f>
        <v>0.234569869999981</v>
      </c>
    </row>
    <row r="587" spans="4:4">
      <c r="D587">
        <v>10000.0000000008</v>
      </c>
    </row>
    <row r="588" spans="4:4">
      <c r="D588">
        <v>-0.471238898038499</v>
      </c>
    </row>
    <row r="589" spans="3:7">
      <c r="C589" t="s">
        <v>101</v>
      </c>
      <c r="D589">
        <f>D586*D587-D$13</f>
        <v>0</v>
      </c>
      <c r="G589">
        <f>SQRT(D589^2+D590^2+D591^2)</f>
        <v>0</v>
      </c>
    </row>
    <row r="590" spans="4:7">
      <c r="D590">
        <f>D586*SQRT(D587^2+2*D$12*D587*COS(D588)+D$12^2)-D$14</f>
        <v>0</v>
      </c>
      <c r="G590" t="e">
        <f>G589/G574</f>
        <v>#DIV/0!</v>
      </c>
    </row>
    <row r="591" spans="4:4">
      <c r="D591">
        <f>D586*SQRT(D587^2+2*D$12*D587*SIN(D588)+D$12^2)-D$15</f>
        <v>0</v>
      </c>
    </row>
    <row r="592" spans="3:6">
      <c r="C592" t="s">
        <v>102</v>
      </c>
      <c r="D592">
        <f>D587</f>
        <v>10000.0000000008</v>
      </c>
      <c r="E592">
        <f>D586</f>
        <v>0.234569869999981</v>
      </c>
      <c r="F592">
        <f>0</f>
        <v>0</v>
      </c>
    </row>
    <row r="593" spans="4:6">
      <c r="D593">
        <f>SQRT(D587^2+2*D$12*D587*COS(D588)+D$12^2)</f>
        <v>10178.6062944182</v>
      </c>
      <c r="E593">
        <f>D586*(D587+D$12*COS(D588))/D593</f>
        <v>0.234560536860421</v>
      </c>
      <c r="F593">
        <f>-D$12*D586*D587*SIN(D588)/D593</f>
        <v>20.9247689565408</v>
      </c>
    </row>
    <row r="594" spans="4:6">
      <c r="D594">
        <f>SQRT(D587^2+2*D$12*D587*SIN(D588)+D$12^2)</f>
        <v>9910.80410466569</v>
      </c>
      <c r="E594">
        <f>D586*(D587+D$12*SIN(D588))/D594</f>
        <v>0.23453194886626</v>
      </c>
      <c r="F594">
        <f>D$12*D586*D587*COS(D588)/D594</f>
        <v>42.1768571633097</v>
      </c>
    </row>
    <row r="595" spans="3:4">
      <c r="C595" t="s">
        <v>103</v>
      </c>
      <c r="D595">
        <f t="array" ref="D595">SUMPRODUCT(D586:D588,TRANSPOSE(D592:F592))</f>
        <v>4691.3974</v>
      </c>
    </row>
    <row r="596" spans="4:4">
      <c r="D596">
        <f t="array" ref="D596">SUMPRODUCT(D586:D588,TRANSPOSE(D593:F593))</f>
        <v>4723.33915880228</v>
      </c>
    </row>
    <row r="597" spans="4:4">
      <c r="D597">
        <f t="array" ref="D597">SUMPRODUCT(D586:D588,TRANSPOSE(D594:F594))</f>
        <v>4650.22014339713</v>
      </c>
    </row>
    <row r="598" spans="3:4">
      <c r="C598" t="s">
        <v>104</v>
      </c>
      <c r="D598">
        <f t="shared" ref="D598:D600" si="39">D595-D589</f>
        <v>4691.3974</v>
      </c>
    </row>
    <row r="599" spans="4:4">
      <c r="D599">
        <f t="shared" si="39"/>
        <v>4723.33915880228</v>
      </c>
    </row>
    <row r="600" spans="4:4">
      <c r="D600">
        <f t="shared" si="39"/>
        <v>4650.22014339713</v>
      </c>
    </row>
    <row r="601" spans="3:4">
      <c r="C601" t="s">
        <v>108</v>
      </c>
      <c r="D601">
        <f t="array" ref="D601:D603">lapack_dgesv(D592:F594,D598:D600)</f>
        <v>0.234569869999981</v>
      </c>
    </row>
    <row r="602" spans="4:4">
      <c r="D602">
        <v>10000.0000000008</v>
      </c>
    </row>
    <row r="603" spans="4:4">
      <c r="D603">
        <v>-0.47123889803851</v>
      </c>
    </row>
    <row r="604" spans="3:7">
      <c r="C604" t="s">
        <v>101</v>
      </c>
      <c r="D604">
        <f>D601*D602-D$13</f>
        <v>0</v>
      </c>
      <c r="G604">
        <f>SQRT(D604^2+D605^2+D606^2)</f>
        <v>3.63797880709171e-12</v>
      </c>
    </row>
    <row r="605" spans="4:7">
      <c r="D605">
        <f>D601*SQRT(D602^2+2*D$12*D602*COS(D603)+D$12^2)-D$14</f>
        <v>-3.63797880709171e-12</v>
      </c>
      <c r="G605" t="e">
        <f>G604/G589</f>
        <v>#DIV/0!</v>
      </c>
    </row>
    <row r="606" spans="4:4">
      <c r="D606">
        <f>D601*SQRT(D602^2+2*D$12*D602*SIN(D603)+D$12^2)-D$15</f>
        <v>0</v>
      </c>
    </row>
    <row r="607" spans="3:6">
      <c r="C607" t="s">
        <v>102</v>
      </c>
      <c r="D607">
        <f>D602</f>
        <v>10000.0000000008</v>
      </c>
      <c r="E607">
        <f>D601</f>
        <v>0.234569869999981</v>
      </c>
      <c r="F607">
        <f>0</f>
        <v>0</v>
      </c>
    </row>
    <row r="608" spans="4:6">
      <c r="D608">
        <f>SQRT(D602^2+2*D$12*D602*COS(D603)+D$12^2)</f>
        <v>10178.6062944182</v>
      </c>
      <c r="E608">
        <f>D601*(D602+D$12*COS(D603))/D608</f>
        <v>0.234560536860421</v>
      </c>
      <c r="F608">
        <f>-D$12*D601*D602*SIN(D603)/D608</f>
        <v>20.9247689565413</v>
      </c>
    </row>
    <row r="609" spans="4:6">
      <c r="D609">
        <f>SQRT(D602^2+2*D$12*D602*SIN(D603)+D$12^2)</f>
        <v>9910.80410466568</v>
      </c>
      <c r="E609">
        <f>D601*(D602+D$12*SIN(D603))/D609</f>
        <v>0.23453194886626</v>
      </c>
      <c r="F609">
        <f>D$12*D601*D602*COS(D603)/D609</f>
        <v>42.1768571633095</v>
      </c>
    </row>
    <row r="610" spans="3:4">
      <c r="C610" t="s">
        <v>103</v>
      </c>
      <c r="D610">
        <f t="array" ref="D610">SUMPRODUCT(D601:D603,TRANSPOSE(D607:F607))</f>
        <v>4691.3974</v>
      </c>
    </row>
    <row r="611" spans="4:4">
      <c r="D611">
        <f t="array" ref="D611">SUMPRODUCT(D601:D603,TRANSPOSE(D608:F608))</f>
        <v>4723.33915880228</v>
      </c>
    </row>
    <row r="612" spans="4:4">
      <c r="D612">
        <f t="array" ref="D612">SUMPRODUCT(D601:D603,TRANSPOSE(D609:F609))</f>
        <v>4650.22014339713</v>
      </c>
    </row>
    <row r="613" spans="3:4">
      <c r="C613" t="s">
        <v>104</v>
      </c>
      <c r="D613">
        <f t="shared" ref="D613:D615" si="40">D610-D604</f>
        <v>4691.3974</v>
      </c>
    </row>
    <row r="614" spans="4:4">
      <c r="D614">
        <f t="shared" si="40"/>
        <v>4723.33915880229</v>
      </c>
    </row>
    <row r="615" spans="4:4">
      <c r="D615">
        <f t="shared" si="40"/>
        <v>4650.22014339713</v>
      </c>
    </row>
    <row r="616" spans="3:4">
      <c r="C616" t="s">
        <v>108</v>
      </c>
      <c r="D616">
        <f t="array" ref="D616:D618">lapack_dgesv(D607:F609,D613:D615)</f>
        <v>0.234569869999998</v>
      </c>
    </row>
    <row r="617" spans="4:4">
      <c r="D617">
        <v>10000.0000000001</v>
      </c>
    </row>
    <row r="618" spans="4:4">
      <c r="D618">
        <v>-0.471238898038464</v>
      </c>
    </row>
    <row r="619" spans="3:7">
      <c r="C619" t="s">
        <v>101</v>
      </c>
      <c r="D619">
        <f>D616*D617-D$13</f>
        <v>0</v>
      </c>
      <c r="G619">
        <f>SQRT(D619^2+D620^2+D621^2)</f>
        <v>0</v>
      </c>
    </row>
    <row r="620" spans="4:7">
      <c r="D620">
        <f>D616*SQRT(D617^2+2*D$12*D617*COS(D618)+D$12^2)-D$14</f>
        <v>0</v>
      </c>
      <c r="G620">
        <f>G619/G604</f>
        <v>0</v>
      </c>
    </row>
    <row r="621" spans="4:4">
      <c r="D621">
        <f>D616*SQRT(D617^2+2*D$12*D617*SIN(D618)+D$12^2)-D$15</f>
        <v>0</v>
      </c>
    </row>
    <row r="622" spans="3:6">
      <c r="C622" t="s">
        <v>102</v>
      </c>
      <c r="D622">
        <f>D617</f>
        <v>10000.0000000001</v>
      </c>
      <c r="E622">
        <f>D616</f>
        <v>0.234569869999998</v>
      </c>
      <c r="F622">
        <f>0</f>
        <v>0</v>
      </c>
    </row>
    <row r="623" spans="4:6">
      <c r="D623">
        <f>SQRT(D617^2+2*D$12*D617*COS(D618)+D$12^2)</f>
        <v>10178.6062944175</v>
      </c>
      <c r="E623">
        <f>D616*(D617+D$12*COS(D618))/D623</f>
        <v>0.234560536860439</v>
      </c>
      <c r="F623">
        <f>-D$12*D616*D617*SIN(D618)/D623</f>
        <v>20.9247689565409</v>
      </c>
    </row>
    <row r="624" spans="4:6">
      <c r="D624">
        <f>SQRT(D617^2+2*D$12*D617*SIN(D618)+D$12^2)</f>
        <v>9910.80410466493</v>
      </c>
      <c r="E624">
        <f>D616*(D617+D$12*SIN(D618))/D624</f>
        <v>0.234531948866278</v>
      </c>
      <c r="F624">
        <f>D$12*D616*D617*COS(D618)/D624</f>
        <v>42.1768571633137</v>
      </c>
    </row>
    <row r="625" spans="3:4">
      <c r="C625" t="s">
        <v>103</v>
      </c>
      <c r="D625">
        <f t="array" ref="D625">SUMPRODUCT(D616:D618,TRANSPOSE(D622:F622))</f>
        <v>4691.3974</v>
      </c>
    </row>
    <row r="626" spans="4:4">
      <c r="D626">
        <f t="array" ref="D626">SUMPRODUCT(D616:D618,TRANSPOSE(D623:F623))</f>
        <v>4723.33915880229</v>
      </c>
    </row>
    <row r="627" spans="4:4">
      <c r="D627">
        <f t="array" ref="D627">SUMPRODUCT(D616:D618,TRANSPOSE(D624:F624))</f>
        <v>4650.22014339713</v>
      </c>
    </row>
    <row r="628" spans="3:4">
      <c r="C628" t="s">
        <v>104</v>
      </c>
      <c r="D628">
        <f t="shared" ref="D628:D630" si="41">D625-D619</f>
        <v>4691.3974</v>
      </c>
    </row>
    <row r="629" spans="4:4">
      <c r="D629">
        <f t="shared" si="41"/>
        <v>4723.33915880229</v>
      </c>
    </row>
    <row r="630" spans="4:4">
      <c r="D630">
        <f t="shared" si="41"/>
        <v>4650.22014339713</v>
      </c>
    </row>
    <row r="631" spans="3:4">
      <c r="C631" t="s">
        <v>108</v>
      </c>
      <c r="D631">
        <f t="array" ref="D631:D633">lapack_dgesv(D622:F624,D628:D630)</f>
        <v>0.234569869999999</v>
      </c>
    </row>
    <row r="632" spans="4:4">
      <c r="D632">
        <v>10000</v>
      </c>
    </row>
    <row r="633" spans="4:4">
      <c r="D633">
        <v>-0.471238898038443</v>
      </c>
    </row>
    <row r="634" spans="3:7">
      <c r="C634" t="s">
        <v>101</v>
      </c>
      <c r="D634">
        <f>D631*D632-D$13</f>
        <v>0</v>
      </c>
      <c r="G634">
        <f>SQRT(D634^2+D635^2+D636^2)</f>
        <v>3.63797880709171e-12</v>
      </c>
    </row>
    <row r="635" spans="4:7">
      <c r="D635">
        <f>D631*SQRT(D632^2+2*D$12*D632*COS(D633)+D$12^2)-D$14</f>
        <v>0</v>
      </c>
      <c r="G635" t="e">
        <f>G634/G619</f>
        <v>#DIV/0!</v>
      </c>
    </row>
    <row r="636" spans="4:4">
      <c r="D636">
        <f>D631*SQRT(D632^2+2*D$12*D632*SIN(D633)+D$12^2)-D$15</f>
        <v>3.63797880709171e-12</v>
      </c>
    </row>
    <row r="637" spans="3:6">
      <c r="C637" t="s">
        <v>102</v>
      </c>
      <c r="D637">
        <f>D632</f>
        <v>10000</v>
      </c>
      <c r="E637">
        <f>D631</f>
        <v>0.234569869999999</v>
      </c>
      <c r="F637">
        <f>0</f>
        <v>0</v>
      </c>
    </row>
    <row r="638" spans="4:6">
      <c r="D638">
        <f>SQRT(D632^2+2*D$12*D632*COS(D633)+D$12^2)</f>
        <v>10178.6062944175</v>
      </c>
      <c r="E638">
        <f>D631*(D632+D$12*COS(D633))/D638</f>
        <v>0.234560536860439</v>
      </c>
      <c r="F638">
        <f>-D$12*D631*D632*SIN(D633)/D638</f>
        <v>20.9247689565401</v>
      </c>
    </row>
    <row r="639" spans="4:6">
      <c r="D639">
        <f>SQRT(D632^2+2*D$12*D632*SIN(D633)+D$12^2)</f>
        <v>9910.80410466491</v>
      </c>
      <c r="E639">
        <f>D631*(D632+D$12*SIN(D633))/D639</f>
        <v>0.234531948866278</v>
      </c>
      <c r="F639">
        <f>D$12*D631*D632*COS(D633)/D639</f>
        <v>42.1768571633142</v>
      </c>
    </row>
    <row r="640" spans="3:4">
      <c r="C640" t="s">
        <v>103</v>
      </c>
      <c r="D640">
        <f t="array" ref="D640">SUMPRODUCT(D631:D633,TRANSPOSE(D637:F637))</f>
        <v>4691.3974</v>
      </c>
    </row>
    <row r="641" spans="4:4">
      <c r="D641">
        <f t="array" ref="D641">SUMPRODUCT(D631:D633,TRANSPOSE(D638:F638))</f>
        <v>4723.33915880229</v>
      </c>
    </row>
    <row r="642" spans="4:4">
      <c r="D642">
        <f t="array" ref="D642">SUMPRODUCT(D631:D633,TRANSPOSE(D639:F639))</f>
        <v>4650.22014339713</v>
      </c>
    </row>
    <row r="643" spans="3:4">
      <c r="C643" t="s">
        <v>104</v>
      </c>
      <c r="D643">
        <f t="shared" ref="D643:D645" si="42">D640-D634</f>
        <v>4691.3974</v>
      </c>
    </row>
    <row r="644" spans="4:4">
      <c r="D644">
        <f t="shared" si="42"/>
        <v>4723.33915880229</v>
      </c>
    </row>
    <row r="645" spans="4:4">
      <c r="D645">
        <f t="shared" si="42"/>
        <v>4650.22014339713</v>
      </c>
    </row>
    <row r="646" spans="3:4">
      <c r="C646" t="s">
        <v>108</v>
      </c>
      <c r="D646">
        <f t="array" ref="D646:D648">lapack_dgesv(D637:F639,D643:D645)</f>
        <v>0.234569870000007</v>
      </c>
    </row>
    <row r="647" spans="4:4">
      <c r="D647">
        <v>9999.99999999969</v>
      </c>
    </row>
    <row r="648" spans="4:4">
      <c r="D648">
        <v>-0.471238898038511</v>
      </c>
    </row>
    <row r="649" spans="3:7">
      <c r="C649" t="s">
        <v>101</v>
      </c>
      <c r="D649">
        <f>D646*D647-D$13</f>
        <v>0</v>
      </c>
      <c r="G649">
        <f>SQRT(D649^2+D650^2+D651^2)</f>
        <v>0</v>
      </c>
    </row>
    <row r="650" spans="4:7">
      <c r="D650">
        <f>D646*SQRT(D647^2+2*D$12*D647*COS(D648)+D$12^2)-D$14</f>
        <v>0</v>
      </c>
      <c r="G650">
        <f>G649/G634</f>
        <v>0</v>
      </c>
    </row>
    <row r="651" spans="4:4">
      <c r="D651">
        <f>D646*SQRT(D647^2+2*D$12*D647*SIN(D648)+D$12^2)-D$15</f>
        <v>0</v>
      </c>
    </row>
    <row r="652" spans="3:6">
      <c r="C652" t="s">
        <v>102</v>
      </c>
      <c r="D652">
        <f>D647</f>
        <v>9999.99999999969</v>
      </c>
      <c r="E652">
        <f>D646</f>
        <v>0.234569870000007</v>
      </c>
      <c r="F652">
        <f>0</f>
        <v>0</v>
      </c>
    </row>
    <row r="653" spans="4:6">
      <c r="D653">
        <f>SQRT(D647^2+2*D$12*D647*COS(D648)+D$12^2)</f>
        <v>10178.6062944171</v>
      </c>
      <c r="E653">
        <f>D646*(D647+D$12*COS(D648))/D653</f>
        <v>0.234560536860448</v>
      </c>
      <c r="F653">
        <f>-D$12*D646*D647*SIN(D648)/D653</f>
        <v>20.9247689565437</v>
      </c>
    </row>
    <row r="654" spans="4:6">
      <c r="D654">
        <f>SQRT(D647^2+2*D$12*D647*SIN(D648)+D$12^2)</f>
        <v>9910.80410466454</v>
      </c>
      <c r="E654">
        <f>D646*(D647+D$12*SIN(D648))/D654</f>
        <v>0.234531948866287</v>
      </c>
      <c r="F654">
        <f>D$12*D646*D647*COS(D648)/D654</f>
        <v>42.1768571633143</v>
      </c>
    </row>
    <row r="655" spans="3:4">
      <c r="C655" t="s">
        <v>103</v>
      </c>
      <c r="D655">
        <f t="array" ref="D655">SUMPRODUCT(D646:D648,TRANSPOSE(D652:F652))</f>
        <v>4691.3974</v>
      </c>
    </row>
    <row r="656" spans="4:4">
      <c r="D656">
        <f t="array" ref="D656">SUMPRODUCT(D646:D648,TRANSPOSE(D653:F653))</f>
        <v>4723.33915880229</v>
      </c>
    </row>
    <row r="657" spans="4:4">
      <c r="D657">
        <f t="array" ref="D657">SUMPRODUCT(D646:D648,TRANSPOSE(D654:F654))</f>
        <v>4650.22014339713</v>
      </c>
    </row>
    <row r="658" spans="3:4">
      <c r="C658" t="s">
        <v>104</v>
      </c>
      <c r="D658">
        <f t="shared" ref="D658:D660" si="43">D655-D649</f>
        <v>4691.3974</v>
      </c>
    </row>
    <row r="659" spans="4:4">
      <c r="D659">
        <f t="shared" si="43"/>
        <v>4723.33915880229</v>
      </c>
    </row>
    <row r="660" spans="4:4">
      <c r="D660">
        <f t="shared" si="43"/>
        <v>4650.22014339713</v>
      </c>
    </row>
    <row r="661" spans="3:4">
      <c r="C661" t="s">
        <v>108</v>
      </c>
      <c r="D661">
        <f t="array" ref="D661:D663">lapack_dgesv(D652:F654,D658:D660)</f>
        <v>0.234569870000008</v>
      </c>
    </row>
    <row r="662" spans="4:4">
      <c r="D662">
        <v>9999.99999999966</v>
      </c>
    </row>
    <row r="663" spans="4:4">
      <c r="D663">
        <v>-0.471238898038496</v>
      </c>
    </row>
    <row r="664" spans="3:7">
      <c r="C664" t="s">
        <v>101</v>
      </c>
      <c r="D664">
        <f>D661*D662-D$13</f>
        <v>0</v>
      </c>
      <c r="G664">
        <f>SQRT(D664^2+D665^2+D666^2)</f>
        <v>0</v>
      </c>
    </row>
    <row r="665" spans="4:7">
      <c r="D665">
        <f>D661*SQRT(D662^2+2*D$12*D662*COS(D663)+D$12^2)-D$14</f>
        <v>0</v>
      </c>
      <c r="G665" t="e">
        <f>G664/G649</f>
        <v>#DIV/0!</v>
      </c>
    </row>
    <row r="666" spans="4:4">
      <c r="D666">
        <f>D661*SQRT(D662^2+2*D$12*D662*SIN(D663)+D$12^2)-D$15</f>
        <v>0</v>
      </c>
    </row>
    <row r="667" spans="3:6">
      <c r="C667" t="s">
        <v>102</v>
      </c>
      <c r="D667">
        <f>D662</f>
        <v>9999.99999999966</v>
      </c>
      <c r="E667">
        <f>D661</f>
        <v>0.234569870000008</v>
      </c>
      <c r="F667">
        <f>0</f>
        <v>0</v>
      </c>
    </row>
    <row r="668" spans="4:6">
      <c r="D668">
        <f>SQRT(D662^2+2*D$12*D662*COS(D663)+D$12^2)</f>
        <v>10178.6062944171</v>
      </c>
      <c r="E668">
        <f>D661*(D662+D$12*COS(D663))/D668</f>
        <v>0.234560536860448</v>
      </c>
      <c r="F668">
        <f>-D$12*D661*D662*SIN(D663)/D668</f>
        <v>20.9247689565431</v>
      </c>
    </row>
    <row r="669" spans="4:6">
      <c r="D669">
        <f>SQRT(D662^2+2*D$12*D662*SIN(D663)+D$12^2)</f>
        <v>9910.80410466452</v>
      </c>
      <c r="E669">
        <f>D661*(D662+D$12*SIN(D663))/D669</f>
        <v>0.234531948866287</v>
      </c>
      <c r="F669">
        <f>D$12*D661*D662*COS(D663)/D669</f>
        <v>42.1768571633147</v>
      </c>
    </row>
    <row r="670" spans="3:4">
      <c r="C670" t="s">
        <v>103</v>
      </c>
      <c r="D670">
        <f t="array" ref="D670">SUMPRODUCT(D661:D663,TRANSPOSE(D667:F667))</f>
        <v>4691.3974</v>
      </c>
    </row>
    <row r="671" spans="4:4">
      <c r="D671">
        <f t="array" ref="D671">SUMPRODUCT(D661:D663,TRANSPOSE(D668:F668))</f>
        <v>4723.33915880228</v>
      </c>
    </row>
    <row r="672" spans="4:4">
      <c r="D672">
        <f t="array" ref="D672">SUMPRODUCT(D661:D663,TRANSPOSE(D669:F669))</f>
        <v>4650.22014339713</v>
      </c>
    </row>
    <row r="673" spans="3:4">
      <c r="C673" t="s">
        <v>104</v>
      </c>
      <c r="D673">
        <f t="shared" ref="D673:D675" si="44">D670-D664</f>
        <v>4691.3974</v>
      </c>
    </row>
    <row r="674" spans="4:4">
      <c r="D674">
        <f t="shared" si="44"/>
        <v>4723.33915880228</v>
      </c>
    </row>
    <row r="675" spans="4:4">
      <c r="D675">
        <f t="shared" si="44"/>
        <v>4650.22014339713</v>
      </c>
    </row>
    <row r="676" spans="3:4">
      <c r="C676" t="s">
        <v>108</v>
      </c>
      <c r="D676">
        <f t="array" ref="D676:D678">lapack_dgesv(D667:F669,D673:D675)</f>
        <v>0.234569870000012</v>
      </c>
    </row>
    <row r="677" spans="4:4">
      <c r="D677">
        <v>9999.99999999947</v>
      </c>
    </row>
    <row r="678" spans="4:4">
      <c r="D678">
        <v>-0.471238898038497</v>
      </c>
    </row>
    <row r="679" spans="3:7">
      <c r="C679" t="s">
        <v>101</v>
      </c>
      <c r="D679">
        <f>D676*D677-D$13</f>
        <v>0</v>
      </c>
      <c r="G679">
        <f>SQRT(D679^2+D680^2+D681^2)</f>
        <v>0</v>
      </c>
    </row>
    <row r="680" spans="4:7">
      <c r="D680">
        <f>D676*SQRT(D677^2+2*D$12*D677*COS(D678)+D$12^2)-D$14</f>
        <v>0</v>
      </c>
      <c r="G680" t="e">
        <f>G679/G664</f>
        <v>#DIV/0!</v>
      </c>
    </row>
    <row r="681" spans="4:4">
      <c r="D681">
        <f>D676*SQRT(D677^2+2*D$12*D677*SIN(D678)+D$12^2)-D$15</f>
        <v>0</v>
      </c>
    </row>
    <row r="682" spans="3:6">
      <c r="C682" t="s">
        <v>102</v>
      </c>
      <c r="D682">
        <f>D677</f>
        <v>9999.99999999947</v>
      </c>
      <c r="E682">
        <f>D676</f>
        <v>0.234569870000012</v>
      </c>
      <c r="F682">
        <f>0</f>
        <v>0</v>
      </c>
    </row>
    <row r="683" spans="4:6">
      <c r="D683">
        <f>SQRT(D677^2+2*D$12*D677*COS(D678)+D$12^2)</f>
        <v>10178.6062944169</v>
      </c>
      <c r="E683">
        <f>D676*(D677+D$12*COS(D678))/D683</f>
        <v>0.234560536860453</v>
      </c>
      <c r="F683">
        <f>-D$12*D676*D677*SIN(D678)/D683</f>
        <v>20.9247689565435</v>
      </c>
    </row>
    <row r="684" spans="4:6">
      <c r="D684">
        <f>SQRT(D677^2+2*D$12*D677*SIN(D678)+D$12^2)</f>
        <v>9910.80410466433</v>
      </c>
      <c r="E684">
        <f>D676*(D677+D$12*SIN(D678))/D684</f>
        <v>0.234531948866292</v>
      </c>
      <c r="F684">
        <f>D$12*D676*D677*COS(D678)/D684</f>
        <v>42.1768571633155</v>
      </c>
    </row>
    <row r="685" spans="3:4">
      <c r="C685" t="s">
        <v>103</v>
      </c>
      <c r="D685">
        <f t="array" ref="D685">SUMPRODUCT(D676:D678,TRANSPOSE(D682:F682))</f>
        <v>4691.3974</v>
      </c>
    </row>
    <row r="686" spans="4:4">
      <c r="D686">
        <f t="array" ref="D686">SUMPRODUCT(D676:D678,TRANSPOSE(D683:F683))</f>
        <v>4723.33915880228</v>
      </c>
    </row>
    <row r="687" spans="4:4">
      <c r="D687">
        <f t="array" ref="D687">SUMPRODUCT(D676:D678,TRANSPOSE(D684:F684))</f>
        <v>4650.22014339712</v>
      </c>
    </row>
    <row r="688" spans="3:4">
      <c r="C688" t="s">
        <v>104</v>
      </c>
      <c r="D688">
        <f t="shared" ref="D688:D690" si="45">D685-D679</f>
        <v>4691.3974</v>
      </c>
    </row>
    <row r="689" spans="4:4">
      <c r="D689">
        <f t="shared" si="45"/>
        <v>4723.33915880228</v>
      </c>
    </row>
    <row r="690" spans="4:4">
      <c r="D690">
        <f t="shared" si="45"/>
        <v>4650.22014339712</v>
      </c>
    </row>
    <row r="691" spans="3:4">
      <c r="C691" t="s">
        <v>108</v>
      </c>
      <c r="D691">
        <f t="array" ref="D691:D693">lapack_dgesv(D682:F684,D688:D690)</f>
        <v>0.234569870000017</v>
      </c>
    </row>
    <row r="692" spans="4:4">
      <c r="D692">
        <v>9999.99999999925</v>
      </c>
    </row>
    <row r="693" spans="4:4">
      <c r="D693">
        <v>-0.471238898038502</v>
      </c>
    </row>
    <row r="694" spans="3:7">
      <c r="C694" t="s">
        <v>101</v>
      </c>
      <c r="D694">
        <f>D691*D692-D$13</f>
        <v>0</v>
      </c>
      <c r="G694">
        <f>SQRT(D694^2+D695^2+D696^2)</f>
        <v>0</v>
      </c>
    </row>
    <row r="695" spans="4:7">
      <c r="D695">
        <f>D691*SQRT(D692^2+2*D$12*D692*COS(D693)+D$12^2)-D$14</f>
        <v>0</v>
      </c>
      <c r="G695" t="e">
        <f>G694/G679</f>
        <v>#DIV/0!</v>
      </c>
    </row>
    <row r="696" spans="4:4">
      <c r="D696">
        <f>D691*SQRT(D692^2+2*D$12*D692*SIN(D693)+D$12^2)-D$15</f>
        <v>0</v>
      </c>
    </row>
    <row r="697" spans="3:6">
      <c r="C697" t="s">
        <v>102</v>
      </c>
      <c r="D697">
        <f>D692</f>
        <v>9999.99999999925</v>
      </c>
      <c r="E697">
        <f>D691</f>
        <v>0.234569870000017</v>
      </c>
      <c r="F697">
        <f>0</f>
        <v>0</v>
      </c>
    </row>
    <row r="698" spans="4:6">
      <c r="D698">
        <f>SQRT(D692^2+2*D$12*D692*COS(D693)+D$12^2)</f>
        <v>10178.6062944166</v>
      </c>
      <c r="E698">
        <f>D691*(D692+D$12*COS(D693))/D698</f>
        <v>0.234560536860458</v>
      </c>
      <c r="F698">
        <f>-D$12*D691*D692*SIN(D693)/D698</f>
        <v>20.9247689565442</v>
      </c>
    </row>
    <row r="699" spans="4:6">
      <c r="D699">
        <f>SQRT(D692^2+2*D$12*D692*SIN(D693)+D$12^2)</f>
        <v>9910.80410466411</v>
      </c>
      <c r="E699">
        <f>D691*(D692+D$12*SIN(D693))/D699</f>
        <v>0.234531948866297</v>
      </c>
      <c r="F699">
        <f>D$12*D691*D692*COS(D693)/D699</f>
        <v>42.1768571633163</v>
      </c>
    </row>
    <row r="700" spans="3:4">
      <c r="C700" t="s">
        <v>103</v>
      </c>
      <c r="D700">
        <f t="array" ref="D700">SUMPRODUCT(D691:D693,TRANSPOSE(D697:F697))</f>
        <v>4691.3974</v>
      </c>
    </row>
    <row r="701" spans="4:4">
      <c r="D701">
        <f t="array" ref="D701">SUMPRODUCT(D691:D693,TRANSPOSE(D698:F698))</f>
        <v>4723.33915880228</v>
      </c>
    </row>
    <row r="702" spans="4:4">
      <c r="D702">
        <f t="array" ref="D702">SUMPRODUCT(D691:D693,TRANSPOSE(D699:F699))</f>
        <v>4650.22014339712</v>
      </c>
    </row>
    <row r="703" spans="3:4">
      <c r="C703" t="s">
        <v>104</v>
      </c>
      <c r="D703">
        <f t="shared" ref="D703:D705" si="46">D700-D694</f>
        <v>4691.3974</v>
      </c>
    </row>
    <row r="704" spans="4:4">
      <c r="D704">
        <f t="shared" si="46"/>
        <v>4723.33915880228</v>
      </c>
    </row>
    <row r="705" spans="4:4">
      <c r="D705">
        <f t="shared" si="46"/>
        <v>4650.22014339712</v>
      </c>
    </row>
    <row r="706" spans="3:4">
      <c r="C706" t="s">
        <v>108</v>
      </c>
      <c r="D706">
        <f t="array" ref="D706:D708">lapack_dgesv(D697:F699,D703:D705)</f>
        <v>0.234569870000017</v>
      </c>
    </row>
    <row r="707" spans="4:4">
      <c r="D707">
        <v>9999.99999999927</v>
      </c>
    </row>
    <row r="708" spans="4:4">
      <c r="D708">
        <v>-0.471238898038492</v>
      </c>
    </row>
    <row r="709" spans="3:7">
      <c r="C709" t="s">
        <v>101</v>
      </c>
      <c r="D709">
        <f>D706*D707-D$13</f>
        <v>0</v>
      </c>
      <c r="G709">
        <f>SQRT(D709^2+D710^2+D711^2)</f>
        <v>0</v>
      </c>
    </row>
    <row r="710" spans="4:7">
      <c r="D710">
        <f>D706*SQRT(D707^2+2*D$12*D707*COS(D708)+D$12^2)-D$14</f>
        <v>0</v>
      </c>
      <c r="G710" t="e">
        <f>G709/G694</f>
        <v>#DIV/0!</v>
      </c>
    </row>
    <row r="711" spans="4:4">
      <c r="D711">
        <f>D706*SQRT(D707^2+2*D$12*D707*SIN(D708)+D$12^2)-D$15</f>
        <v>0</v>
      </c>
    </row>
    <row r="712" spans="3:6">
      <c r="C712" t="s">
        <v>102</v>
      </c>
      <c r="D712">
        <f>D707</f>
        <v>9999.99999999927</v>
      </c>
      <c r="E712">
        <f>D706</f>
        <v>0.234569870000017</v>
      </c>
      <c r="F712">
        <f>0</f>
        <v>0</v>
      </c>
    </row>
    <row r="713" spans="4:6">
      <c r="D713">
        <f>SQRT(D707^2+2*D$12*D707*COS(D708)+D$12^2)</f>
        <v>10178.6062944167</v>
      </c>
      <c r="E713">
        <f>D706*(D707+D$12*COS(D708))/D713</f>
        <v>0.234560536860458</v>
      </c>
      <c r="F713">
        <f>-D$12*D706*D707*SIN(D708)/D713</f>
        <v>20.9247689565437</v>
      </c>
    </row>
    <row r="714" spans="4:6">
      <c r="D714">
        <f>SQRT(D707^2+2*D$12*D707*SIN(D708)+D$12^2)</f>
        <v>9910.80410466412</v>
      </c>
      <c r="E714">
        <f>D706*(D707+D$12*SIN(D708))/D714</f>
        <v>0.234531948866297</v>
      </c>
      <c r="F714">
        <f>D$12*D706*D707*COS(D708)/D714</f>
        <v>42.1768571633165</v>
      </c>
    </row>
    <row r="715" spans="3:4">
      <c r="C715" t="s">
        <v>103</v>
      </c>
      <c r="D715">
        <f t="array" ref="D715">SUMPRODUCT(D706:D708,TRANSPOSE(D712:F712))</f>
        <v>4691.3974</v>
      </c>
    </row>
    <row r="716" spans="4:4">
      <c r="D716">
        <f t="array" ref="D716">SUMPRODUCT(D706:D708,TRANSPOSE(D713:F713))</f>
        <v>4723.33915880228</v>
      </c>
    </row>
    <row r="717" spans="4:4">
      <c r="D717">
        <f t="array" ref="D717">SUMPRODUCT(D706:D708,TRANSPOSE(D714:F714))</f>
        <v>4650.22014339712</v>
      </c>
    </row>
    <row r="718" spans="3:4">
      <c r="C718" t="s">
        <v>104</v>
      </c>
      <c r="D718">
        <f t="shared" ref="D718:D720" si="47">D715-D709</f>
        <v>4691.3974</v>
      </c>
    </row>
    <row r="719" spans="4:4">
      <c r="D719">
        <f t="shared" si="47"/>
        <v>4723.33915880228</v>
      </c>
    </row>
    <row r="720" spans="4:4">
      <c r="D720">
        <f t="shared" si="47"/>
        <v>4650.22014339712</v>
      </c>
    </row>
    <row r="721" spans="3:4">
      <c r="C721" t="s">
        <v>108</v>
      </c>
      <c r="D721">
        <f t="array" ref="D721:D723">lapack_dgesv(D712:F714,D718:D720)</f>
        <v>0.234569870000016</v>
      </c>
    </row>
    <row r="722" spans="4:4">
      <c r="D722">
        <v>9999.99999999933</v>
      </c>
    </row>
    <row r="723" spans="4:4">
      <c r="D723">
        <v>-0.471238898038492</v>
      </c>
    </row>
    <row r="724" spans="3:7">
      <c r="C724" t="s">
        <v>101</v>
      </c>
      <c r="D724">
        <f>D721*D722-D$13</f>
        <v>0</v>
      </c>
      <c r="G724">
        <f>SQRT(D724^2+D725^2+D726^2)</f>
        <v>0</v>
      </c>
    </row>
    <row r="725" spans="4:7">
      <c r="D725">
        <f>D721*SQRT(D722^2+2*D$12*D722*COS(D723)+D$12^2)-D$14</f>
        <v>0</v>
      </c>
      <c r="G725" t="e">
        <f>G724/G709</f>
        <v>#DIV/0!</v>
      </c>
    </row>
    <row r="726" spans="4:4">
      <c r="D726">
        <f>D721*SQRT(D722^2+2*D$12*D722*SIN(D723)+D$12^2)-D$15</f>
        <v>0</v>
      </c>
    </row>
    <row r="727" spans="3:6">
      <c r="C727" t="s">
        <v>102</v>
      </c>
      <c r="D727">
        <f>D722</f>
        <v>9999.99999999933</v>
      </c>
      <c r="E727">
        <f>D721</f>
        <v>0.234569870000016</v>
      </c>
      <c r="F727">
        <f>0</f>
        <v>0</v>
      </c>
    </row>
    <row r="728" spans="4:6">
      <c r="D728">
        <f>SQRT(D722^2+2*D$12*D722*COS(D723)+D$12^2)</f>
        <v>10178.6062944167</v>
      </c>
      <c r="E728">
        <f>D721*(D722+D$12*COS(D723))/D728</f>
        <v>0.234560536860456</v>
      </c>
      <c r="F728">
        <f>-D$12*D721*D722*SIN(D723)/D728</f>
        <v>20.9247689565436</v>
      </c>
    </row>
    <row r="729" spans="4:6">
      <c r="D729">
        <f>SQRT(D722^2+2*D$12*D722*SIN(D723)+D$12^2)</f>
        <v>9910.80410466419</v>
      </c>
      <c r="E729">
        <f>D721*(D722+D$12*SIN(D723))/D729</f>
        <v>0.234531948866295</v>
      </c>
      <c r="F729">
        <f>D$12*D721*D722*COS(D723)/D729</f>
        <v>42.1768571633162</v>
      </c>
    </row>
    <row r="730" spans="3:4">
      <c r="C730" t="s">
        <v>103</v>
      </c>
      <c r="D730">
        <f t="array" ref="D730">SUMPRODUCT(D721:D723,TRANSPOSE(D727:F727))</f>
        <v>4691.3974</v>
      </c>
    </row>
    <row r="731" spans="4:4">
      <c r="D731">
        <f t="array" ref="D731">SUMPRODUCT(D721:D723,TRANSPOSE(D728:F728))</f>
        <v>4723.33915880228</v>
      </c>
    </row>
    <row r="732" spans="4:4">
      <c r="D732">
        <f t="array" ref="D732">SUMPRODUCT(D721:D723,TRANSPOSE(D729:F729))</f>
        <v>4650.22014339712</v>
      </c>
    </row>
    <row r="733" spans="3:4">
      <c r="C733" t="s">
        <v>104</v>
      </c>
      <c r="D733">
        <f t="shared" ref="D733:D735" si="48">D730-D724</f>
        <v>4691.3974</v>
      </c>
    </row>
    <row r="734" spans="4:4">
      <c r="D734">
        <f t="shared" si="48"/>
        <v>4723.33915880228</v>
      </c>
    </row>
    <row r="735" spans="4:4">
      <c r="D735">
        <f t="shared" si="48"/>
        <v>4650.22014339712</v>
      </c>
    </row>
    <row r="736" spans="3:4">
      <c r="C736" t="s">
        <v>108</v>
      </c>
      <c r="D736">
        <f t="array" ref="D736:D738">lapack_dgesv(D727:F729,D733:D735)</f>
        <v>0.234569870000017</v>
      </c>
    </row>
    <row r="737" spans="4:4">
      <c r="D737">
        <v>9999.99999999925</v>
      </c>
    </row>
    <row r="738" spans="4:4">
      <c r="D738">
        <v>-0.47123889803848</v>
      </c>
    </row>
    <row r="739" spans="3:7">
      <c r="C739" t="s">
        <v>101</v>
      </c>
      <c r="D739">
        <f>D736*D737-D$13</f>
        <v>0</v>
      </c>
      <c r="G739">
        <f>SQRT(D739^2+D740^2+D741^2)</f>
        <v>0</v>
      </c>
    </row>
    <row r="740" spans="4:7">
      <c r="D740">
        <f>D736*SQRT(D737^2+2*D$12*D737*COS(D738)+D$12^2)-D$14</f>
        <v>0</v>
      </c>
      <c r="G740" t="e">
        <f>G739/G724</f>
        <v>#DIV/0!</v>
      </c>
    </row>
    <row r="741" spans="4:4">
      <c r="D741">
        <f>D736*SQRT(D737^2+2*D$12*D737*SIN(D738)+D$12^2)-D$15</f>
        <v>0</v>
      </c>
    </row>
    <row r="742" spans="3:6">
      <c r="C742" t="s">
        <v>102</v>
      </c>
      <c r="D742">
        <f>D737</f>
        <v>9999.99999999925</v>
      </c>
      <c r="E742">
        <f>D736</f>
        <v>0.234569870000017</v>
      </c>
      <c r="F742">
        <f>0</f>
        <v>0</v>
      </c>
    </row>
    <row r="743" spans="4:6">
      <c r="D743">
        <f>SQRT(D737^2+2*D$12*D737*COS(D738)+D$12^2)</f>
        <v>10178.6062944166</v>
      </c>
      <c r="E743">
        <f>D736*(D737+D$12*COS(D738))/D743</f>
        <v>0.234560536860458</v>
      </c>
      <c r="F743">
        <f>-D$12*D736*D737*SIN(D738)/D743</f>
        <v>20.9247689565433</v>
      </c>
    </row>
    <row r="744" spans="4:6">
      <c r="D744">
        <f>SQRT(D737^2+2*D$12*D737*SIN(D738)+D$12^2)</f>
        <v>9910.80410466411</v>
      </c>
      <c r="E744">
        <f>D736*(D737+D$12*SIN(D738))/D744</f>
        <v>0.234531948866297</v>
      </c>
      <c r="F744">
        <f>D$12*D736*D737*COS(D738)/D744</f>
        <v>42.1768571633168</v>
      </c>
    </row>
    <row r="745" spans="3:4">
      <c r="C745" t="s">
        <v>103</v>
      </c>
      <c r="D745">
        <f t="array" ref="D745">SUMPRODUCT(D736:D738,TRANSPOSE(D742:F742))</f>
        <v>4691.3974</v>
      </c>
    </row>
    <row r="746" spans="4:4">
      <c r="D746">
        <f t="array" ref="D746">SUMPRODUCT(D736:D738,TRANSPOSE(D743:F743))</f>
        <v>4723.33915880228</v>
      </c>
    </row>
    <row r="747" spans="4:4">
      <c r="D747">
        <f t="array" ref="D747">SUMPRODUCT(D736:D738,TRANSPOSE(D744:F744))</f>
        <v>4650.22014339712</v>
      </c>
    </row>
    <row r="748" spans="3:4">
      <c r="C748" t="s">
        <v>104</v>
      </c>
      <c r="D748">
        <f t="shared" ref="D748:D750" si="49">D745-D739</f>
        <v>4691.3974</v>
      </c>
    </row>
    <row r="749" spans="4:4">
      <c r="D749">
        <f t="shared" si="49"/>
        <v>4723.33915880228</v>
      </c>
    </row>
    <row r="750" spans="4:4">
      <c r="D750">
        <f t="shared" si="49"/>
        <v>4650.22014339712</v>
      </c>
    </row>
    <row r="751" spans="3:4">
      <c r="C751" t="s">
        <v>108</v>
      </c>
      <c r="D751">
        <f t="array" ref="D751:D753">lapack_dgesv(D742:F744,D748:D750)</f>
        <v>0.234569870000017</v>
      </c>
    </row>
    <row r="752" spans="4:4">
      <c r="D752">
        <v>9999.99999999926</v>
      </c>
    </row>
    <row r="753" spans="4:4">
      <c r="D753">
        <v>-0.471238898038483</v>
      </c>
    </row>
    <row r="754" spans="3:7">
      <c r="C754" t="s">
        <v>101</v>
      </c>
      <c r="D754">
        <f>D751*D752-D$13</f>
        <v>0</v>
      </c>
      <c r="G754">
        <f>SQRT(D754^2+D755^2+D756^2)</f>
        <v>0</v>
      </c>
    </row>
    <row r="755" spans="4:7">
      <c r="D755">
        <f>D751*SQRT(D752^2+2*D$12*D752*COS(D753)+D$12^2)-D$14</f>
        <v>0</v>
      </c>
      <c r="G755" t="e">
        <f>G754/G739</f>
        <v>#DIV/0!</v>
      </c>
    </row>
    <row r="756" spans="4:4">
      <c r="D756">
        <f>D751*SQRT(D752^2+2*D$12*D752*SIN(D753)+D$12^2)-D$15</f>
        <v>0</v>
      </c>
    </row>
    <row r="757" spans="3:6">
      <c r="C757" t="s">
        <v>102</v>
      </c>
      <c r="D757">
        <f>D752</f>
        <v>9999.99999999926</v>
      </c>
      <c r="E757">
        <f>D751</f>
        <v>0.234569870000017</v>
      </c>
      <c r="F757">
        <f>0</f>
        <v>0</v>
      </c>
    </row>
    <row r="758" spans="4:6">
      <c r="D758">
        <f>SQRT(D752^2+2*D$12*D752*COS(D753)+D$12^2)</f>
        <v>10178.6062944167</v>
      </c>
      <c r="E758">
        <f>D751*(D752+D$12*COS(D753))/D758</f>
        <v>0.234560536860458</v>
      </c>
      <c r="F758">
        <f>-D$12*D751*D752*SIN(D753)/D758</f>
        <v>20.9247689565434</v>
      </c>
    </row>
    <row r="759" spans="4:6">
      <c r="D759">
        <f>SQRT(D752^2+2*D$12*D752*SIN(D753)+D$12^2)</f>
        <v>9910.80410466411</v>
      </c>
      <c r="E759">
        <f>D751*(D752+D$12*SIN(D753))/D759</f>
        <v>0.234531948866297</v>
      </c>
      <c r="F759">
        <f>D$12*D751*D752*COS(D753)/D759</f>
        <v>42.1768571633167</v>
      </c>
    </row>
    <row r="760" spans="3:4">
      <c r="C760" t="s">
        <v>103</v>
      </c>
      <c r="D760">
        <f t="array" ref="D760">SUMPRODUCT(D751:D753,TRANSPOSE(D757:F757))</f>
        <v>4691.3974</v>
      </c>
    </row>
    <row r="761" spans="4:4">
      <c r="D761">
        <f t="array" ref="D761">SUMPRODUCT(D751:D753,TRANSPOSE(D758:F758))</f>
        <v>4723.33915880228</v>
      </c>
    </row>
    <row r="762" spans="4:4">
      <c r="D762">
        <f t="array" ref="D762">SUMPRODUCT(D751:D753,TRANSPOSE(D759:F759))</f>
        <v>4650.22014339712</v>
      </c>
    </row>
    <row r="763" spans="3:4">
      <c r="C763" t="s">
        <v>104</v>
      </c>
      <c r="D763">
        <f t="shared" ref="D763:D765" si="50">D760-D754</f>
        <v>4691.3974</v>
      </c>
    </row>
    <row r="764" spans="4:4">
      <c r="D764">
        <f t="shared" si="50"/>
        <v>4723.33915880228</v>
      </c>
    </row>
    <row r="765" spans="4:4">
      <c r="D765">
        <f t="shared" si="50"/>
        <v>4650.22014339712</v>
      </c>
    </row>
    <row r="766" spans="3:4">
      <c r="C766" t="s">
        <v>108</v>
      </c>
      <c r="D766">
        <f t="array" ref="D766:D768">lapack_dgesv(D757:F759,D763:D765)</f>
        <v>0.234569870000016</v>
      </c>
    </row>
    <row r="767" spans="4:4">
      <c r="D767">
        <v>9999.99999999931</v>
      </c>
    </row>
    <row r="768" spans="4:4">
      <c r="D768">
        <v>-0.471238898038502</v>
      </c>
    </row>
    <row r="769" spans="3:7">
      <c r="C769" t="s">
        <v>101</v>
      </c>
      <c r="D769">
        <f>D766*D767-D$13</f>
        <v>0</v>
      </c>
      <c r="G769">
        <f>SQRT(D769^2+D770^2+D771^2)</f>
        <v>0</v>
      </c>
    </row>
    <row r="770" spans="4:7">
      <c r="D770">
        <f>D766*SQRT(D767^2+2*D$12*D767*COS(D768)+D$12^2)-D$14</f>
        <v>0</v>
      </c>
      <c r="G770" t="e">
        <f>G769/G754</f>
        <v>#DIV/0!</v>
      </c>
    </row>
    <row r="771" spans="4:4">
      <c r="D771">
        <f>D766*SQRT(D767^2+2*D$12*D767*SIN(D768)+D$12^2)-D$15</f>
        <v>0</v>
      </c>
    </row>
    <row r="772" spans="3:6">
      <c r="C772" t="s">
        <v>102</v>
      </c>
      <c r="D772">
        <f>D767</f>
        <v>9999.99999999931</v>
      </c>
      <c r="E772">
        <f>D766</f>
        <v>0.234569870000016</v>
      </c>
      <c r="F772">
        <f>0</f>
        <v>0</v>
      </c>
    </row>
    <row r="773" spans="4:6">
      <c r="D773">
        <f>SQRT(D767^2+2*D$12*D767*COS(D768)+D$12^2)</f>
        <v>10178.6062944167</v>
      </c>
      <c r="E773">
        <f>D766*(D767+D$12*COS(D768))/D773</f>
        <v>0.234560536860457</v>
      </c>
      <c r="F773">
        <f>-D$12*D766*D767*SIN(D768)/D773</f>
        <v>20.9247689565441</v>
      </c>
    </row>
    <row r="774" spans="4:6">
      <c r="D774">
        <f>SQRT(D767^2+2*D$12*D767*SIN(D768)+D$12^2)</f>
        <v>9910.80410466416</v>
      </c>
      <c r="E774">
        <f>D766*(D767+D$12*SIN(D768))/D774</f>
        <v>0.234531948866296</v>
      </c>
      <c r="F774">
        <f>D$12*D766*D767*COS(D768)/D774</f>
        <v>42.1768571633161</v>
      </c>
    </row>
    <row r="775" spans="3:4">
      <c r="C775" t="s">
        <v>103</v>
      </c>
      <c r="D775">
        <f t="array" ref="D775">SUMPRODUCT(D766:D768,TRANSPOSE(D772:F772))</f>
        <v>4691.3974</v>
      </c>
    </row>
    <row r="776" spans="4:4">
      <c r="D776">
        <f t="array" ref="D776">SUMPRODUCT(D766:D768,TRANSPOSE(D773:F773))</f>
        <v>4723.33915880228</v>
      </c>
    </row>
    <row r="777" spans="4:4">
      <c r="D777">
        <f t="array" ref="D777">SUMPRODUCT(D766:D768,TRANSPOSE(D774:F774))</f>
        <v>4650.22014339712</v>
      </c>
    </row>
    <row r="778" spans="3:4">
      <c r="C778" t="s">
        <v>104</v>
      </c>
      <c r="D778">
        <f t="shared" ref="D778:D780" si="51">D775-D769</f>
        <v>4691.3974</v>
      </c>
    </row>
    <row r="779" spans="4:4">
      <c r="D779">
        <f t="shared" si="51"/>
        <v>4723.33915880228</v>
      </c>
    </row>
    <row r="780" spans="4:4">
      <c r="D780">
        <f t="shared" si="51"/>
        <v>4650.22014339712</v>
      </c>
    </row>
    <row r="781" spans="3:4">
      <c r="C781" t="s">
        <v>108</v>
      </c>
      <c r="D781">
        <f t="array" ref="D781:D783">lapack_dgesv(D772:F774,D778:D780)</f>
        <v>0.234569870000018</v>
      </c>
    </row>
    <row r="782" spans="4:4">
      <c r="D782">
        <v>9999.99999999922</v>
      </c>
    </row>
    <row r="783" spans="4:4">
      <c r="D783">
        <v>-0.471238898038489</v>
      </c>
    </row>
    <row r="784" spans="3:7">
      <c r="C784" t="s">
        <v>101</v>
      </c>
      <c r="D784">
        <f>D781*D782-D$13</f>
        <v>0</v>
      </c>
      <c r="G784">
        <f>SQRT(D784^2+D785^2+D786^2)</f>
        <v>0</v>
      </c>
    </row>
    <row r="785" spans="4:7">
      <c r="D785">
        <f>D781*SQRT(D782^2+2*D$12*D782*COS(D783)+D$12^2)-D$14</f>
        <v>0</v>
      </c>
      <c r="G785" t="e">
        <f>G784/G769</f>
        <v>#DIV/0!</v>
      </c>
    </row>
    <row r="786" spans="4:4">
      <c r="D786">
        <f>D781*SQRT(D782^2+2*D$12*D782*SIN(D783)+D$12^2)-D$15</f>
        <v>0</v>
      </c>
    </row>
    <row r="787" spans="3:6">
      <c r="C787" t="s">
        <v>102</v>
      </c>
      <c r="D787">
        <f>D782</f>
        <v>9999.99999999922</v>
      </c>
      <c r="E787">
        <f>D781</f>
        <v>0.234569870000018</v>
      </c>
      <c r="F787">
        <f>0</f>
        <v>0</v>
      </c>
    </row>
    <row r="788" spans="4:6">
      <c r="D788">
        <f>SQRT(D782^2+2*D$12*D782*COS(D783)+D$12^2)</f>
        <v>10178.6062944166</v>
      </c>
      <c r="E788">
        <f>D781*(D782+D$12*COS(D783))/D788</f>
        <v>0.234560536860459</v>
      </c>
      <c r="F788">
        <f>-D$12*D781*D782*SIN(D783)/D788</f>
        <v>20.9247689565437</v>
      </c>
    </row>
    <row r="789" spans="4:6">
      <c r="D789">
        <f>SQRT(D782^2+2*D$12*D782*SIN(D783)+D$12^2)</f>
        <v>9910.80410466407</v>
      </c>
      <c r="E789">
        <f>D781*(D782+D$12*SIN(D783))/D789</f>
        <v>0.234531948866298</v>
      </c>
      <c r="F789">
        <f>D$12*D781*D782*COS(D783)/D789</f>
        <v>42.1768571633167</v>
      </c>
    </row>
    <row r="790" spans="3:4">
      <c r="C790" t="s">
        <v>103</v>
      </c>
      <c r="D790">
        <f t="array" ref="D790">SUMPRODUCT(D781:D783,TRANSPOSE(D787:F787))</f>
        <v>4691.3974</v>
      </c>
    </row>
    <row r="791" spans="4:4">
      <c r="D791">
        <f t="array" ref="D791">SUMPRODUCT(D781:D783,TRANSPOSE(D788:F788))</f>
        <v>4723.33915880228</v>
      </c>
    </row>
    <row r="792" spans="4:4">
      <c r="D792">
        <f t="array" ref="D792">SUMPRODUCT(D781:D783,TRANSPOSE(D789:F789))</f>
        <v>4650.22014339712</v>
      </c>
    </row>
    <row r="793" spans="3:4">
      <c r="C793" t="s">
        <v>104</v>
      </c>
      <c r="D793">
        <f t="shared" ref="D793:D795" si="52">D790-D784</f>
        <v>4691.3974</v>
      </c>
    </row>
    <row r="794" spans="4:4">
      <c r="D794">
        <f t="shared" si="52"/>
        <v>4723.33915880228</v>
      </c>
    </row>
    <row r="795" spans="4:4">
      <c r="D795">
        <f t="shared" si="52"/>
        <v>4650.22014339712</v>
      </c>
    </row>
    <row r="796" spans="3:4">
      <c r="C796" t="s">
        <v>108</v>
      </c>
      <c r="D796">
        <f t="array" ref="D796:D798">lapack_dgesv(D787:F789,D793:D795)</f>
        <v>0.234569870000015</v>
      </c>
    </row>
    <row r="797" spans="4:4">
      <c r="D797">
        <v>9999.99999999937</v>
      </c>
    </row>
    <row r="798" spans="4:4">
      <c r="D798">
        <v>-0.4712388980385</v>
      </c>
    </row>
    <row r="799" spans="3:7">
      <c r="C799" t="s">
        <v>101</v>
      </c>
      <c r="D799">
        <f>D796*D797-D$13</f>
        <v>0</v>
      </c>
      <c r="G799">
        <f>SQRT(D799^2+D800^2+D801^2)</f>
        <v>0</v>
      </c>
    </row>
    <row r="800" spans="4:7">
      <c r="D800">
        <f>D796*SQRT(D797^2+2*D$12*D797*COS(D798)+D$12^2)-D$14</f>
        <v>0</v>
      </c>
      <c r="G800" t="e">
        <f>G799/G784</f>
        <v>#DIV/0!</v>
      </c>
    </row>
    <row r="801" spans="4:4">
      <c r="D801">
        <f>D796*SQRT(D797^2+2*D$12*D797*SIN(D798)+D$12^2)-D$15</f>
        <v>0</v>
      </c>
    </row>
    <row r="802" spans="3:6">
      <c r="C802" t="s">
        <v>102</v>
      </c>
      <c r="D802">
        <f>D797</f>
        <v>9999.99999999937</v>
      </c>
      <c r="E802">
        <f>D796</f>
        <v>0.234569870000015</v>
      </c>
      <c r="F802">
        <f>0</f>
        <v>0</v>
      </c>
    </row>
    <row r="803" spans="4:6">
      <c r="D803">
        <f>SQRT(D797^2+2*D$12*D797*COS(D798)+D$12^2)</f>
        <v>10178.6062944168</v>
      </c>
      <c r="E803">
        <f>D796*(D797+D$12*COS(D798))/D803</f>
        <v>0.234560536860455</v>
      </c>
      <c r="F803">
        <f>-D$12*D796*D797*SIN(D798)/D803</f>
        <v>20.9247689565438</v>
      </c>
    </row>
    <row r="804" spans="4:6">
      <c r="D804">
        <f>SQRT(D797^2+2*D$12*D797*SIN(D798)+D$12^2)</f>
        <v>9910.80410466422</v>
      </c>
      <c r="E804">
        <f>D796*(D797+D$12*SIN(D798))/D804</f>
        <v>0.234531948866294</v>
      </c>
      <c r="F804">
        <f>D$12*D796*D797*COS(D798)/D804</f>
        <v>42.1768571633159</v>
      </c>
    </row>
    <row r="805" spans="3:4">
      <c r="C805" t="s">
        <v>103</v>
      </c>
      <c r="D805">
        <f t="array" ref="D805">SUMPRODUCT(D796:D798,TRANSPOSE(D802:F802))</f>
        <v>4691.3974</v>
      </c>
    </row>
    <row r="806" spans="4:4">
      <c r="D806">
        <f t="array" ref="D806">SUMPRODUCT(D796:D798,TRANSPOSE(D803:F803))</f>
        <v>4723.33915880228</v>
      </c>
    </row>
    <row r="807" spans="4:4">
      <c r="D807">
        <f t="array" ref="D807">SUMPRODUCT(D796:D798,TRANSPOSE(D804:F804))</f>
        <v>4650.22014339712</v>
      </c>
    </row>
    <row r="808" spans="3:4">
      <c r="C808" t="s">
        <v>104</v>
      </c>
      <c r="D808">
        <f t="shared" ref="D808:D810" si="53">D805-D799</f>
        <v>4691.3974</v>
      </c>
    </row>
    <row r="809" spans="4:4">
      <c r="D809">
        <f t="shared" si="53"/>
        <v>4723.33915880228</v>
      </c>
    </row>
    <row r="810" spans="4:4">
      <c r="D810">
        <f t="shared" si="53"/>
        <v>4650.22014339712</v>
      </c>
    </row>
    <row r="811" spans="3:4">
      <c r="C811" t="s">
        <v>108</v>
      </c>
      <c r="D811">
        <f t="array" ref="D811:D813">lapack_dgesv(D802:F804,D808:D810)</f>
        <v>0.234569870000014</v>
      </c>
    </row>
    <row r="812" spans="4:4">
      <c r="D812">
        <v>9999.99999999938</v>
      </c>
    </row>
    <row r="813" spans="4:4">
      <c r="D813">
        <v>-0.471238898038503</v>
      </c>
    </row>
    <row r="814" spans="3:7">
      <c r="C814" t="s">
        <v>101</v>
      </c>
      <c r="D814">
        <f>D811*D812-D$13</f>
        <v>0</v>
      </c>
      <c r="G814">
        <f>SQRT(D814^2+D815^2+D816^2)</f>
        <v>0</v>
      </c>
    </row>
    <row r="815" spans="4:7">
      <c r="D815">
        <f>D811*SQRT(D812^2+2*D$12*D812*COS(D813)+D$12^2)-D$14</f>
        <v>0</v>
      </c>
      <c r="G815" t="e">
        <f>G814/G799</f>
        <v>#DIV/0!</v>
      </c>
    </row>
    <row r="816" spans="4:4">
      <c r="D816">
        <f>D811*SQRT(D812^2+2*D$12*D812*SIN(D813)+D$12^2)-D$15</f>
        <v>0</v>
      </c>
    </row>
    <row r="817" spans="3:6">
      <c r="C817" t="s">
        <v>102</v>
      </c>
      <c r="D817">
        <f>D812</f>
        <v>9999.99999999938</v>
      </c>
      <c r="E817">
        <f>D811</f>
        <v>0.234569870000014</v>
      </c>
      <c r="F817">
        <f>0</f>
        <v>0</v>
      </c>
    </row>
    <row r="818" spans="4:6">
      <c r="D818">
        <f>SQRT(D812^2+2*D$12*D812*COS(D813)+D$12^2)</f>
        <v>10178.6062944168</v>
      </c>
      <c r="E818">
        <f>D811*(D812+D$12*COS(D813))/D818</f>
        <v>0.234560536860455</v>
      </c>
      <c r="F818">
        <f>-D$12*D811*D812*SIN(D813)/D818</f>
        <v>20.924768956544</v>
      </c>
    </row>
    <row r="819" spans="4:6">
      <c r="D819">
        <f>SQRT(D812^2+2*D$12*D812*SIN(D813)+D$12^2)</f>
        <v>9910.80410466423</v>
      </c>
      <c r="E819">
        <f>D811*(D812+D$12*SIN(D813))/D819</f>
        <v>0.234531948866294</v>
      </c>
      <c r="F819">
        <f>D$12*D811*D812*COS(D813)/D819</f>
        <v>42.1768571633158</v>
      </c>
    </row>
    <row r="820" spans="3:4">
      <c r="C820" t="s">
        <v>103</v>
      </c>
      <c r="D820">
        <f t="array" ref="D820">SUMPRODUCT(D811:D813,TRANSPOSE(D817:F817))</f>
        <v>4691.3974</v>
      </c>
    </row>
    <row r="821" spans="4:4">
      <c r="D821">
        <f t="array" ref="D821">SUMPRODUCT(D811:D813,TRANSPOSE(D818:F818))</f>
        <v>4723.33915880228</v>
      </c>
    </row>
    <row r="822" spans="4:4">
      <c r="D822">
        <f t="array" ref="D822">SUMPRODUCT(D811:D813,TRANSPOSE(D819:F819))</f>
        <v>4650.22014339712</v>
      </c>
    </row>
    <row r="823" spans="3:4">
      <c r="C823" t="s">
        <v>104</v>
      </c>
      <c r="D823">
        <f t="shared" ref="D823:D825" si="54">D820-D814</f>
        <v>4691.3974</v>
      </c>
    </row>
    <row r="824" spans="4:4">
      <c r="D824">
        <f t="shared" si="54"/>
        <v>4723.33915880228</v>
      </c>
    </row>
    <row r="825" spans="4:4">
      <c r="D825">
        <f t="shared" si="54"/>
        <v>4650.22014339712</v>
      </c>
    </row>
    <row r="826" spans="3:4">
      <c r="C826" t="s">
        <v>108</v>
      </c>
      <c r="D826">
        <f t="array" ref="D826:D828">lapack_dgesv(D817:F819,D823:D825)</f>
        <v>0.234569870000015</v>
      </c>
    </row>
    <row r="827" spans="4:4">
      <c r="D827">
        <v>9999.99999999935</v>
      </c>
    </row>
    <row r="828" spans="4:4">
      <c r="D828">
        <v>-0.471238898038496</v>
      </c>
    </row>
    <row r="829" spans="3:7">
      <c r="C829" t="s">
        <v>101</v>
      </c>
      <c r="D829">
        <f>D826*D827-D$13</f>
        <v>0</v>
      </c>
      <c r="G829">
        <f>SQRT(D829^2+D830^2+D831^2)</f>
        <v>0</v>
      </c>
    </row>
    <row r="830" spans="4:7">
      <c r="D830">
        <f>D826*SQRT(D827^2+2*D$12*D827*COS(D828)+D$12^2)-D$14</f>
        <v>0</v>
      </c>
      <c r="G830" t="e">
        <f>G829/G814</f>
        <v>#DIV/0!</v>
      </c>
    </row>
    <row r="831" spans="4:4">
      <c r="D831">
        <f>D826*SQRT(D827^2+2*D$12*D827*SIN(D828)+D$12^2)-D$15</f>
        <v>0</v>
      </c>
    </row>
    <row r="832" spans="3:6">
      <c r="C832" t="s">
        <v>102</v>
      </c>
      <c r="D832">
        <f>D827</f>
        <v>9999.99999999935</v>
      </c>
      <c r="E832">
        <f>D826</f>
        <v>0.234569870000015</v>
      </c>
      <c r="F832">
        <f>0</f>
        <v>0</v>
      </c>
    </row>
    <row r="833" spans="4:6">
      <c r="D833">
        <f>SQRT(D827^2+2*D$12*D827*COS(D828)+D$12^2)</f>
        <v>10178.6062944167</v>
      </c>
      <c r="E833">
        <f>D826*(D827+D$12*COS(D828))/D833</f>
        <v>0.234560536860456</v>
      </c>
      <c r="F833">
        <f>-D$12*D826*D827*SIN(D828)/D833</f>
        <v>20.9247689565437</v>
      </c>
    </row>
    <row r="834" spans="4:6">
      <c r="D834">
        <f>SQRT(D827^2+2*D$12*D827*SIN(D828)+D$12^2)</f>
        <v>9910.80410466421</v>
      </c>
      <c r="E834">
        <f>D826*(D827+D$12*SIN(D828))/D834</f>
        <v>0.234531948866295</v>
      </c>
      <c r="F834">
        <f>D$12*D826*D827*COS(D828)/D834</f>
        <v>42.1768571633161</v>
      </c>
    </row>
    <row r="835" spans="3:4">
      <c r="C835" t="s">
        <v>103</v>
      </c>
      <c r="D835">
        <f t="array" ref="D835">SUMPRODUCT(D826:D828,TRANSPOSE(D832:F832))</f>
        <v>4691.3974</v>
      </c>
    </row>
    <row r="836" spans="4:4">
      <c r="D836">
        <f t="array" ref="D836">SUMPRODUCT(D826:D828,TRANSPOSE(D833:F833))</f>
        <v>4723.33915880228</v>
      </c>
    </row>
    <row r="837" spans="4:4">
      <c r="D837">
        <f t="array" ref="D837">SUMPRODUCT(D826:D828,TRANSPOSE(D834:F834))</f>
        <v>4650.22014339713</v>
      </c>
    </row>
    <row r="838" spans="3:4">
      <c r="C838" t="s">
        <v>104</v>
      </c>
      <c r="D838">
        <f t="shared" ref="D838:D840" si="55">D835-D829</f>
        <v>4691.3974</v>
      </c>
    </row>
    <row r="839" spans="4:4">
      <c r="D839">
        <f t="shared" si="55"/>
        <v>4723.33915880228</v>
      </c>
    </row>
    <row r="840" spans="4:4">
      <c r="D840">
        <f t="shared" si="55"/>
        <v>4650.22014339713</v>
      </c>
    </row>
    <row r="841" spans="3:4">
      <c r="C841" t="s">
        <v>108</v>
      </c>
      <c r="D841">
        <f t="array" ref="D841:D843">lapack_dgesv(D832:F834,D838:D840)</f>
        <v>0.234569870000012</v>
      </c>
    </row>
    <row r="842" spans="4:4">
      <c r="D842">
        <v>9999.99999999948</v>
      </c>
    </row>
    <row r="843" spans="4:4">
      <c r="D843">
        <v>-0.471238898038485</v>
      </c>
    </row>
    <row r="844" spans="3:7">
      <c r="C844" t="s">
        <v>101</v>
      </c>
      <c r="D844">
        <f>D841*D842-D$13</f>
        <v>0</v>
      </c>
      <c r="G844">
        <f>SQRT(D844^2+D845^2+D846^2)</f>
        <v>0</v>
      </c>
    </row>
    <row r="845" spans="4:7">
      <c r="D845">
        <f>D841*SQRT(D842^2+2*D$12*D842*COS(D843)+D$12^2)-D$14</f>
        <v>0</v>
      </c>
      <c r="G845" t="e">
        <f>G844/G829</f>
        <v>#DIV/0!</v>
      </c>
    </row>
    <row r="846" spans="4:4">
      <c r="D846">
        <f>D841*SQRT(D842^2+2*D$12*D842*SIN(D843)+D$12^2)-D$15</f>
        <v>0</v>
      </c>
    </row>
    <row r="847" spans="3:6">
      <c r="C847" t="s">
        <v>102</v>
      </c>
      <c r="D847">
        <f>D842</f>
        <v>9999.99999999948</v>
      </c>
      <c r="E847">
        <f>D841</f>
        <v>0.234569870000012</v>
      </c>
      <c r="F847">
        <f>0</f>
        <v>0</v>
      </c>
    </row>
    <row r="848" spans="4:6">
      <c r="D848">
        <f>SQRT(D842^2+2*D$12*D842*COS(D843)+D$12^2)</f>
        <v>10178.6062944169</v>
      </c>
      <c r="E848">
        <f>D841*(D842+D$12*COS(D843))/D848</f>
        <v>0.234560536860453</v>
      </c>
      <c r="F848">
        <f>-D$12*D841*D842*SIN(D843)/D848</f>
        <v>20.924768956543</v>
      </c>
    </row>
    <row r="849" spans="4:6">
      <c r="D849">
        <f>SQRT(D842^2+2*D$12*D842*SIN(D843)+D$12^2)</f>
        <v>9910.80410466433</v>
      </c>
      <c r="E849">
        <f>D841*(D842+D$12*SIN(D843))/D849</f>
        <v>0.234531948866292</v>
      </c>
      <c r="F849">
        <f>D$12*D841*D842*COS(D843)/D849</f>
        <v>42.1768571633158</v>
      </c>
    </row>
    <row r="850" spans="3:4">
      <c r="C850" t="s">
        <v>103</v>
      </c>
      <c r="D850">
        <f t="array" ref="D850">SUMPRODUCT(D841:D843,TRANSPOSE(D847:F847))</f>
        <v>4691.3974</v>
      </c>
    </row>
    <row r="851" spans="4:4">
      <c r="D851">
        <f t="array" ref="D851">SUMPRODUCT(D841:D843,TRANSPOSE(D848:F848))</f>
        <v>4723.33915880228</v>
      </c>
    </row>
    <row r="852" spans="4:4">
      <c r="D852">
        <f t="array" ref="D852">SUMPRODUCT(D841:D843,TRANSPOSE(D849:F849))</f>
        <v>4650.22014339713</v>
      </c>
    </row>
    <row r="853" spans="3:4">
      <c r="C853" t="s">
        <v>104</v>
      </c>
      <c r="D853">
        <f t="shared" ref="D853:D855" si="56">D850-D844</f>
        <v>4691.3974</v>
      </c>
    </row>
    <row r="854" spans="4:4">
      <c r="D854">
        <f t="shared" si="56"/>
        <v>4723.33915880228</v>
      </c>
    </row>
    <row r="855" spans="4:4">
      <c r="D855">
        <f t="shared" si="56"/>
        <v>4650.22014339713</v>
      </c>
    </row>
    <row r="856" spans="3:4">
      <c r="C856" t="s">
        <v>108</v>
      </c>
      <c r="D856">
        <f t="array" ref="D856:D858">lapack_dgesv(D847:F849,D853:D855)</f>
        <v>0.23456987000001</v>
      </c>
    </row>
    <row r="857" spans="4:4">
      <c r="D857">
        <v>9999.99999999958</v>
      </c>
    </row>
    <row r="858" spans="4:4">
      <c r="D858">
        <v>-0.471238898038506</v>
      </c>
    </row>
    <row r="859" spans="3:7">
      <c r="C859" t="s">
        <v>101</v>
      </c>
      <c r="D859">
        <f>D856*D857-D$13</f>
        <v>0</v>
      </c>
      <c r="G859">
        <f>SQRT(D859^2+D860^2+D861^2)</f>
        <v>0</v>
      </c>
    </row>
    <row r="860" spans="4:7">
      <c r="D860">
        <f>D856*SQRT(D857^2+2*D$12*D857*COS(D858)+D$12^2)-D$14</f>
        <v>0</v>
      </c>
      <c r="G860" t="e">
        <f>G859/G844</f>
        <v>#DIV/0!</v>
      </c>
    </row>
    <row r="861" spans="4:4">
      <c r="D861">
        <f>D856*SQRT(D857^2+2*D$12*D857*SIN(D858)+D$12^2)-D$15</f>
        <v>0</v>
      </c>
    </row>
    <row r="862" spans="3:6">
      <c r="C862" t="s">
        <v>102</v>
      </c>
      <c r="D862">
        <f>D857</f>
        <v>9999.99999999958</v>
      </c>
      <c r="E862">
        <f>D856</f>
        <v>0.23456987000001</v>
      </c>
      <c r="F862">
        <f>0</f>
        <v>0</v>
      </c>
    </row>
    <row r="863" spans="4:6">
      <c r="D863">
        <f>SQRT(D857^2+2*D$12*D857*COS(D858)+D$12^2)</f>
        <v>10178.606294417</v>
      </c>
      <c r="E863">
        <f>D856*(D857+D$12*COS(D858))/D863</f>
        <v>0.23456053686045</v>
      </c>
      <c r="F863">
        <f>-D$12*D856*D857*SIN(D858)/D863</f>
        <v>20.9247689565437</v>
      </c>
    </row>
    <row r="864" spans="4:6">
      <c r="D864">
        <f>SQRT(D857^2+2*D$12*D857*SIN(D858)+D$12^2)</f>
        <v>9910.80410466443</v>
      </c>
      <c r="E864">
        <f>D856*(D857+D$12*SIN(D858))/D864</f>
        <v>0.234531948866289</v>
      </c>
      <c r="F864">
        <f>D$12*D856*D857*COS(D858)/D864</f>
        <v>42.1768571633149</v>
      </c>
    </row>
    <row r="865" spans="3:4">
      <c r="C865" t="s">
        <v>103</v>
      </c>
      <c r="D865">
        <f t="array" ref="D865">SUMPRODUCT(D856:D858,TRANSPOSE(D862:F862))</f>
        <v>4691.3974</v>
      </c>
    </row>
    <row r="866" spans="4:4">
      <c r="D866">
        <f t="array" ref="D866">SUMPRODUCT(D856:D858,TRANSPOSE(D863:F863))</f>
        <v>4723.33915880228</v>
      </c>
    </row>
    <row r="867" spans="4:4">
      <c r="D867">
        <f t="array" ref="D867">SUMPRODUCT(D856:D858,TRANSPOSE(D864:F864))</f>
        <v>4650.22014339713</v>
      </c>
    </row>
    <row r="868" spans="3:4">
      <c r="C868" t="s">
        <v>104</v>
      </c>
      <c r="D868">
        <f t="shared" ref="D868:D870" si="57">D865-D859</f>
        <v>4691.3974</v>
      </c>
    </row>
    <row r="869" spans="4:4">
      <c r="D869">
        <f t="shared" si="57"/>
        <v>4723.33915880228</v>
      </c>
    </row>
    <row r="870" spans="4:4">
      <c r="D870">
        <f t="shared" si="57"/>
        <v>4650.22014339713</v>
      </c>
    </row>
    <row r="871" spans="3:4">
      <c r="C871" t="s">
        <v>108</v>
      </c>
      <c r="D871">
        <f t="array" ref="D871:D873">lapack_dgesv(D862:F864,D868:D870)</f>
        <v>0.234569870000008</v>
      </c>
    </row>
    <row r="872" spans="4:4">
      <c r="D872">
        <v>9999.99999999965</v>
      </c>
    </row>
    <row r="873" spans="4:4">
      <c r="D873">
        <v>-0.471238898038489</v>
      </c>
    </row>
    <row r="874" spans="3:7">
      <c r="C874" t="s">
        <v>101</v>
      </c>
      <c r="D874">
        <f>D871*D872-D$13</f>
        <v>0</v>
      </c>
      <c r="G874">
        <f>SQRT(D874^2+D875^2+D876^2)</f>
        <v>0</v>
      </c>
    </row>
    <row r="875" spans="4:7">
      <c r="D875">
        <f>D871*SQRT(D872^2+2*D$12*D872*COS(D873)+D$12^2)-D$14</f>
        <v>0</v>
      </c>
      <c r="G875" t="e">
        <f>G874/G859</f>
        <v>#DIV/0!</v>
      </c>
    </row>
    <row r="876" spans="4:4">
      <c r="D876">
        <f>D871*SQRT(D872^2+2*D$12*D872*SIN(D873)+D$12^2)-D$15</f>
        <v>0</v>
      </c>
    </row>
    <row r="877" spans="3:6">
      <c r="C877" t="s">
        <v>102</v>
      </c>
      <c r="D877">
        <f>D872</f>
        <v>9999.99999999965</v>
      </c>
      <c r="E877">
        <f>D871</f>
        <v>0.234569870000008</v>
      </c>
      <c r="F877">
        <f>0</f>
        <v>0</v>
      </c>
    </row>
    <row r="878" spans="4:6">
      <c r="D878">
        <f>SQRT(D872^2+2*D$12*D872*COS(D873)+D$12^2)</f>
        <v>10178.606294417</v>
      </c>
      <c r="E878">
        <f>D871*(D872+D$12*COS(D873))/D878</f>
        <v>0.234560536860449</v>
      </c>
      <c r="F878">
        <f>-D$12*D871*D872*SIN(D873)/D878</f>
        <v>20.9247689565428</v>
      </c>
    </row>
    <row r="879" spans="4:6">
      <c r="D879">
        <f>SQRT(D872^2+2*D$12*D872*SIN(D873)+D$12^2)</f>
        <v>9910.8041046645</v>
      </c>
      <c r="E879">
        <f>D871*(D872+D$12*SIN(D873))/D879</f>
        <v>0.234531948866288</v>
      </c>
      <c r="F879">
        <f>D$12*D871*D872*COS(D873)/D879</f>
        <v>42.1768571633149</v>
      </c>
    </row>
    <row r="880" spans="3:4">
      <c r="C880" t="s">
        <v>103</v>
      </c>
      <c r="D880">
        <f t="array" ref="D880">SUMPRODUCT(D871:D873,TRANSPOSE(D877:F877))</f>
        <v>4691.3974</v>
      </c>
    </row>
    <row r="881" spans="4:4">
      <c r="D881">
        <f t="array" ref="D881">SUMPRODUCT(D871:D873,TRANSPOSE(D878:F878))</f>
        <v>4723.33915880228</v>
      </c>
    </row>
    <row r="882" spans="4:4">
      <c r="D882">
        <f t="array" ref="D882">SUMPRODUCT(D871:D873,TRANSPOSE(D879:F879))</f>
        <v>4650.22014339713</v>
      </c>
    </row>
    <row r="883" spans="3:4">
      <c r="C883" t="s">
        <v>104</v>
      </c>
      <c r="D883">
        <f t="shared" ref="D883:D885" si="58">D880-D874</f>
        <v>4691.3974</v>
      </c>
    </row>
    <row r="884" spans="4:4">
      <c r="D884">
        <f t="shared" si="58"/>
        <v>4723.33915880228</v>
      </c>
    </row>
    <row r="885" spans="4:4">
      <c r="D885">
        <f t="shared" si="58"/>
        <v>4650.22014339713</v>
      </c>
    </row>
    <row r="886" spans="3:4">
      <c r="C886" t="s">
        <v>108</v>
      </c>
      <c r="D886">
        <f t="array" ref="D886:D888">lapack_dgesv(D877:F879,D883:D885)</f>
        <v>0.234569870000003</v>
      </c>
    </row>
    <row r="887" spans="4:4">
      <c r="D887">
        <v>9999.99999999986</v>
      </c>
    </row>
    <row r="888" spans="4:4">
      <c r="D888">
        <v>-0.471238898038493</v>
      </c>
    </row>
    <row r="889" spans="3:7">
      <c r="C889" t="s">
        <v>101</v>
      </c>
      <c r="D889">
        <f>D886*D887-D$13</f>
        <v>0</v>
      </c>
      <c r="G889">
        <f>SQRT(D889^2+D890^2+D891^2)</f>
        <v>0</v>
      </c>
    </row>
    <row r="890" spans="4:7">
      <c r="D890">
        <f>D886*SQRT(D887^2+2*D$12*D887*COS(D888)+D$12^2)-D$14</f>
        <v>0</v>
      </c>
      <c r="G890" t="e">
        <f>G889/G874</f>
        <v>#DIV/0!</v>
      </c>
    </row>
    <row r="891" spans="4:4">
      <c r="D891">
        <f>D886*SQRT(D887^2+2*D$12*D887*SIN(D888)+D$12^2)-D$15</f>
        <v>0</v>
      </c>
    </row>
    <row r="892" spans="3:6">
      <c r="C892" t="s">
        <v>102</v>
      </c>
      <c r="D892">
        <f>D887</f>
        <v>9999.99999999986</v>
      </c>
      <c r="E892">
        <f>D886</f>
        <v>0.234569870000003</v>
      </c>
      <c r="F892">
        <f>0</f>
        <v>0</v>
      </c>
    </row>
    <row r="893" spans="4:6">
      <c r="D893">
        <f>SQRT(D887^2+2*D$12*D887*COS(D888)+D$12^2)</f>
        <v>10178.6062944173</v>
      </c>
      <c r="E893">
        <f>D886*(D887+D$12*COS(D888))/D893</f>
        <v>0.234560536860444</v>
      </c>
      <c r="F893">
        <f>-D$12*D886*D887*SIN(D888)/D893</f>
        <v>20.9247689565426</v>
      </c>
    </row>
    <row r="894" spans="4:6">
      <c r="D894">
        <f>SQRT(D887^2+2*D$12*D887*SIN(D888)+D$12^2)</f>
        <v>9910.80410466472</v>
      </c>
      <c r="E894">
        <f>D886*(D887+D$12*SIN(D888))/D894</f>
        <v>0.234531948866283</v>
      </c>
      <c r="F894">
        <f>D$12*D886*D887*COS(D888)/D894</f>
        <v>42.176857163314</v>
      </c>
    </row>
    <row r="895" spans="3:4">
      <c r="C895" t="s">
        <v>103</v>
      </c>
      <c r="D895">
        <f t="array" ref="D895">SUMPRODUCT(D886:D888,TRANSPOSE(D892:F892))</f>
        <v>4691.3974</v>
      </c>
    </row>
    <row r="896" spans="4:4">
      <c r="D896">
        <f t="array" ref="D896">SUMPRODUCT(D886:D888,TRANSPOSE(D893:F893))</f>
        <v>4723.33915880228</v>
      </c>
    </row>
    <row r="897" spans="4:4">
      <c r="D897">
        <f t="array" ref="D897">SUMPRODUCT(D886:D888,TRANSPOSE(D894:F894))</f>
        <v>4650.22014339713</v>
      </c>
    </row>
    <row r="898" spans="3:4">
      <c r="C898" t="s">
        <v>104</v>
      </c>
      <c r="D898">
        <f t="shared" ref="D898:D900" si="59">D895-D889</f>
        <v>4691.3974</v>
      </c>
    </row>
    <row r="899" spans="4:4">
      <c r="D899">
        <f t="shared" si="59"/>
        <v>4723.33915880228</v>
      </c>
    </row>
    <row r="900" spans="4:4">
      <c r="D900">
        <f t="shared" si="59"/>
        <v>4650.22014339713</v>
      </c>
    </row>
    <row r="901" spans="3:4">
      <c r="C901" t="s">
        <v>108</v>
      </c>
      <c r="D901">
        <f t="array" ref="D901:D903">lapack_dgesv(D892:F894,D898:D900)</f>
        <v>0.23456987</v>
      </c>
    </row>
    <row r="902" spans="4:4">
      <c r="D902">
        <v>9999.99999999999</v>
      </c>
    </row>
    <row r="903" spans="4:4">
      <c r="D903">
        <v>-0.47123889803849</v>
      </c>
    </row>
    <row r="904" spans="3:7">
      <c r="C904" t="s">
        <v>101</v>
      </c>
      <c r="D904">
        <f>D901*D902-D$13</f>
        <v>0</v>
      </c>
      <c r="G904">
        <f>SQRT(D904^2+D905^2+D906^2)</f>
        <v>0</v>
      </c>
    </row>
    <row r="905" spans="4:7">
      <c r="D905">
        <f>D901*SQRT(D902^2+2*D$12*D902*COS(D903)+D$12^2)-D$14</f>
        <v>0</v>
      </c>
      <c r="G905" t="e">
        <f>G904/G889</f>
        <v>#DIV/0!</v>
      </c>
    </row>
    <row r="906" spans="4:4">
      <c r="D906">
        <f>D901*SQRT(D902^2+2*D$12*D902*SIN(D903)+D$12^2)-D$15</f>
        <v>0</v>
      </c>
    </row>
    <row r="907" spans="3:6">
      <c r="C907" t="s">
        <v>102</v>
      </c>
      <c r="D907">
        <f>D902</f>
        <v>9999.99999999999</v>
      </c>
      <c r="E907">
        <f>D901</f>
        <v>0.23456987</v>
      </c>
      <c r="F907">
        <f>0</f>
        <v>0</v>
      </c>
    </row>
    <row r="908" spans="4:6">
      <c r="D908">
        <f>SQRT(D902^2+2*D$12*D902*COS(D903)+D$12^2)</f>
        <v>10178.6062944174</v>
      </c>
      <c r="E908">
        <f>D901*(D902+D$12*COS(D903))/D908</f>
        <v>0.234560536860441</v>
      </c>
      <c r="F908">
        <f>-D$12*D901*D902*SIN(D903)/D908</f>
        <v>20.9247689565422</v>
      </c>
    </row>
    <row r="909" spans="4:6">
      <c r="D909">
        <f>SQRT(D902^2+2*D$12*D902*SIN(D903)+D$12^2)</f>
        <v>9910.80410466484</v>
      </c>
      <c r="E909">
        <f>D901*(D902+D$12*SIN(D903))/D909</f>
        <v>0.23453194886628</v>
      </c>
      <c r="F909">
        <f>D$12*D901*D902*COS(D903)/D909</f>
        <v>42.1768571633135</v>
      </c>
    </row>
    <row r="910" spans="3:4">
      <c r="C910" t="s">
        <v>103</v>
      </c>
      <c r="D910">
        <f t="array" ref="D910">SUMPRODUCT(D901:D903,TRANSPOSE(D907:F907))</f>
        <v>4691.3974</v>
      </c>
    </row>
    <row r="911" spans="4:4">
      <c r="D911">
        <f t="array" ref="D911">SUMPRODUCT(D901:D903,TRANSPOSE(D908:F908))</f>
        <v>4723.33915880228</v>
      </c>
    </row>
    <row r="912" spans="4:4">
      <c r="D912">
        <f t="array" ref="D912">SUMPRODUCT(D901:D903,TRANSPOSE(D909:F909))</f>
        <v>4650.22014339713</v>
      </c>
    </row>
    <row r="913" spans="3:4">
      <c r="C913" t="s">
        <v>104</v>
      </c>
      <c r="D913">
        <f t="shared" ref="D913:D915" si="60">D910-D904</f>
        <v>4691.3974</v>
      </c>
    </row>
    <row r="914" spans="4:4">
      <c r="D914">
        <f t="shared" si="60"/>
        <v>4723.33915880228</v>
      </c>
    </row>
    <row r="915" spans="4:4">
      <c r="D915">
        <f t="shared" si="60"/>
        <v>4650.22014339713</v>
      </c>
    </row>
    <row r="916" spans="3:4">
      <c r="C916" t="s">
        <v>108</v>
      </c>
      <c r="D916">
        <f t="array" ref="D916:D918">lapack_dgesv(D907:F909,D913:D915)</f>
        <v>0.234569869999999</v>
      </c>
    </row>
    <row r="917" spans="4:4">
      <c r="D917">
        <v>10000</v>
      </c>
    </row>
    <row r="918" spans="4:4">
      <c r="D918">
        <v>-0.471238898038519</v>
      </c>
    </row>
    <row r="919" spans="3:7">
      <c r="C919" t="s">
        <v>101</v>
      </c>
      <c r="D919">
        <f>D916*D917-D$13</f>
        <v>0</v>
      </c>
      <c r="G919">
        <f>SQRT(D919^2+D920^2+D921^2)</f>
        <v>0</v>
      </c>
    </row>
    <row r="920" spans="4:7">
      <c r="D920">
        <f>D916*SQRT(D917^2+2*D$12*D917*COS(D918)+D$12^2)-D$14</f>
        <v>0</v>
      </c>
      <c r="G920" t="e">
        <f>G919/G904</f>
        <v>#DIV/0!</v>
      </c>
    </row>
    <row r="921" spans="4:4">
      <c r="D921">
        <f>D916*SQRT(D917^2+2*D$12*D917*SIN(D918)+D$12^2)-D$15</f>
        <v>0</v>
      </c>
    </row>
    <row r="922" spans="3:6">
      <c r="C922" t="s">
        <v>102</v>
      </c>
      <c r="D922">
        <f>D917</f>
        <v>10000</v>
      </c>
      <c r="E922">
        <f>D916</f>
        <v>0.234569869999999</v>
      </c>
      <c r="F922">
        <f>0</f>
        <v>0</v>
      </c>
    </row>
    <row r="923" spans="4:6">
      <c r="D923">
        <f>SQRT(D917^2+2*D$12*D917*COS(D918)+D$12^2)</f>
        <v>10178.6062944174</v>
      </c>
      <c r="E923">
        <f>D916*(D917+D$12*COS(D918))/D923</f>
        <v>0.23456053686044</v>
      </c>
      <c r="F923">
        <f>-D$12*D916*D917*SIN(D918)/D923</f>
        <v>20.9247689565433</v>
      </c>
    </row>
    <row r="924" spans="4:6">
      <c r="D924">
        <f>SQRT(D917^2+2*D$12*D917*SIN(D918)+D$12^2)</f>
        <v>9910.80410466488</v>
      </c>
      <c r="E924">
        <f>D916*(D917+D$12*SIN(D918))/D924</f>
        <v>0.234531948866279</v>
      </c>
      <c r="F924">
        <f>D$12*D916*D917*COS(D918)/D924</f>
        <v>42.1768571633127</v>
      </c>
    </row>
    <row r="925" spans="3:4">
      <c r="C925" t="s">
        <v>103</v>
      </c>
      <c r="D925">
        <f t="array" ref="D925">SUMPRODUCT(D916:D918,TRANSPOSE(D922:F922))</f>
        <v>4691.3974</v>
      </c>
    </row>
    <row r="926" spans="4:4">
      <c r="D926">
        <f t="array" ref="D926">SUMPRODUCT(D916:D918,TRANSPOSE(D923:F923))</f>
        <v>4723.33915880228</v>
      </c>
    </row>
    <row r="927" spans="4:4">
      <c r="D927">
        <f t="array" ref="D927">SUMPRODUCT(D916:D918,TRANSPOSE(D924:F924))</f>
        <v>4650.22014339713</v>
      </c>
    </row>
    <row r="928" spans="3:4">
      <c r="C928" t="s">
        <v>104</v>
      </c>
      <c r="D928">
        <f t="shared" ref="D928:D930" si="61">D925-D919</f>
        <v>4691.3974</v>
      </c>
    </row>
    <row r="929" spans="4:4">
      <c r="D929">
        <f t="shared" si="61"/>
        <v>4723.33915880228</v>
      </c>
    </row>
    <row r="930" spans="4:4">
      <c r="D930">
        <f t="shared" si="61"/>
        <v>4650.22014339713</v>
      </c>
    </row>
    <row r="931" spans="3:4">
      <c r="C931" t="s">
        <v>108</v>
      </c>
      <c r="D931">
        <f t="array" ref="D931:D933">lapack_dgesv(D922:F924,D928:D930)</f>
        <v>0.234569869999998</v>
      </c>
    </row>
    <row r="932" spans="4:4">
      <c r="D932">
        <v>10000.0000000001</v>
      </c>
    </row>
    <row r="933" spans="4:4">
      <c r="D933">
        <v>-0.471238898038525</v>
      </c>
    </row>
    <row r="934" spans="3:7">
      <c r="C934" t="s">
        <v>101</v>
      </c>
      <c r="D934">
        <f>D931*D932-D$13</f>
        <v>0</v>
      </c>
      <c r="G934">
        <f>SQRT(D934^2+D935^2+D936^2)</f>
        <v>0</v>
      </c>
    </row>
    <row r="935" spans="4:7">
      <c r="D935">
        <f>D931*SQRT(D932^2+2*D$12*D932*COS(D933)+D$12^2)-D$14</f>
        <v>0</v>
      </c>
      <c r="G935" t="e">
        <f>G934/G919</f>
        <v>#DIV/0!</v>
      </c>
    </row>
    <row r="936" spans="4:4">
      <c r="D936">
        <f>D931*SQRT(D932^2+2*D$12*D932*SIN(D933)+D$12^2)-D$15</f>
        <v>0</v>
      </c>
    </row>
    <row r="937" spans="3:6">
      <c r="C937" t="s">
        <v>102</v>
      </c>
      <c r="D937">
        <f>D932</f>
        <v>10000.0000000001</v>
      </c>
      <c r="E937">
        <f>D931</f>
        <v>0.234569869999998</v>
      </c>
      <c r="F937">
        <f>0</f>
        <v>0</v>
      </c>
    </row>
    <row r="938" spans="4:6">
      <c r="D938">
        <f>SQRT(D932^2+2*D$12*D932*COS(D933)+D$12^2)</f>
        <v>10178.6062944175</v>
      </c>
      <c r="E938">
        <f>D931*(D932+D$12*COS(D933))/D938</f>
        <v>0.234560536860438</v>
      </c>
      <c r="F938">
        <f>-D$12*D931*D932*SIN(D933)/D938</f>
        <v>20.9247689565434</v>
      </c>
    </row>
    <row r="939" spans="4:6">
      <c r="D939">
        <f>SQRT(D932^2+2*D$12*D932*SIN(D933)+D$12^2)</f>
        <v>9910.80410466495</v>
      </c>
      <c r="E939">
        <f>D931*(D932+D$12*SIN(D933))/D939</f>
        <v>0.234531948866277</v>
      </c>
      <c r="F939">
        <f>D$12*D931*D932*COS(D933)/D939</f>
        <v>42.1768571633123</v>
      </c>
    </row>
    <row r="940" spans="3:4">
      <c r="C940" t="s">
        <v>103</v>
      </c>
      <c r="D940">
        <f t="array" ref="D940">SUMPRODUCT(D931:D933,TRANSPOSE(D937:F937))</f>
        <v>4691.3974</v>
      </c>
    </row>
    <row r="941" spans="4:4">
      <c r="D941">
        <f t="array" ref="D941">SUMPRODUCT(D931:D933,TRANSPOSE(D938:F938))</f>
        <v>4723.33915880228</v>
      </c>
    </row>
    <row r="942" spans="4:4">
      <c r="D942">
        <f t="array" ref="D942">SUMPRODUCT(D931:D933,TRANSPOSE(D939:F939))</f>
        <v>4650.22014339713</v>
      </c>
    </row>
    <row r="943" spans="3:4">
      <c r="C943" t="s">
        <v>104</v>
      </c>
      <c r="D943">
        <f t="shared" ref="D943:D945" si="62">D940-D934</f>
        <v>4691.3974</v>
      </c>
    </row>
    <row r="944" spans="4:4">
      <c r="D944">
        <f t="shared" si="62"/>
        <v>4723.33915880228</v>
      </c>
    </row>
    <row r="945" spans="4:4">
      <c r="D945">
        <f t="shared" si="62"/>
        <v>4650.22014339713</v>
      </c>
    </row>
    <row r="946" spans="3:4">
      <c r="C946" t="s">
        <v>108</v>
      </c>
      <c r="D946">
        <f t="array" ref="D946:D948">lapack_dgesv(D937:F939,D943:D945)</f>
        <v>0.234569869999996</v>
      </c>
    </row>
    <row r="947" spans="4:4">
      <c r="D947">
        <v>10000.0000000002</v>
      </c>
    </row>
    <row r="948" spans="4:4">
      <c r="D948">
        <v>-0.471238898038509</v>
      </c>
    </row>
    <row r="949" spans="3:7">
      <c r="C949" t="s">
        <v>101</v>
      </c>
      <c r="D949">
        <f>D946*D947-D$13</f>
        <v>0</v>
      </c>
      <c r="G949">
        <f>SQRT(D949^2+D950^2+D951^2)</f>
        <v>0</v>
      </c>
    </row>
    <row r="950" spans="4:7">
      <c r="D950">
        <f>D946*SQRT(D947^2+2*D$12*D947*COS(D948)+D$12^2)-D$14</f>
        <v>0</v>
      </c>
      <c r="G950" t="e">
        <f>G949/G934</f>
        <v>#DIV/0!</v>
      </c>
    </row>
    <row r="951" spans="4:4">
      <c r="D951">
        <f>D946*SQRT(D947^2+2*D$12*D947*SIN(D948)+D$12^2)-D$15</f>
        <v>0</v>
      </c>
    </row>
    <row r="952" spans="3:6">
      <c r="C952" t="s">
        <v>102</v>
      </c>
      <c r="D952">
        <f>D947</f>
        <v>10000.0000000002</v>
      </c>
      <c r="E952">
        <f>D946</f>
        <v>0.234569869999996</v>
      </c>
      <c r="F952">
        <f>0</f>
        <v>0</v>
      </c>
    </row>
    <row r="953" spans="4:6">
      <c r="D953">
        <f>SQRT(D947^2+2*D$12*D947*COS(D948)+D$12^2)</f>
        <v>10178.6062944176</v>
      </c>
      <c r="E953">
        <f>D946*(D947+D$12*COS(D948))/D953</f>
        <v>0.234560536860437</v>
      </c>
      <c r="F953">
        <f>-D$12*D946*D947*SIN(D948)/D953</f>
        <v>20.9247689565426</v>
      </c>
    </row>
    <row r="954" spans="4:6">
      <c r="D954">
        <f>SQRT(D947^2+2*D$12*D947*SIN(D948)+D$12^2)</f>
        <v>9910.80410466502</v>
      </c>
      <c r="E954">
        <f>D946*(D947+D$12*SIN(D948))/D954</f>
        <v>0.234531948866276</v>
      </c>
      <c r="F954">
        <f>D$12*D946*D947*COS(D948)/D954</f>
        <v>42.1768571633124</v>
      </c>
    </row>
    <row r="955" spans="3:4">
      <c r="C955" t="s">
        <v>103</v>
      </c>
      <c r="D955">
        <f t="array" ref="D955">SUMPRODUCT(D946:D948,TRANSPOSE(D952:F952))</f>
        <v>4691.3974</v>
      </c>
    </row>
    <row r="956" spans="4:4">
      <c r="D956">
        <f t="array" ref="D956">SUMPRODUCT(D946:D948,TRANSPOSE(D953:F953))</f>
        <v>4723.33915880229</v>
      </c>
    </row>
    <row r="957" spans="4:4">
      <c r="D957">
        <f t="array" ref="D957">SUMPRODUCT(D946:D948,TRANSPOSE(D954:F954))</f>
        <v>4650.22014339713</v>
      </c>
    </row>
    <row r="958" spans="3:4">
      <c r="C958" t="s">
        <v>104</v>
      </c>
      <c r="D958">
        <f t="shared" ref="D958:D960" si="63">D955-D949</f>
        <v>4691.3974</v>
      </c>
    </row>
    <row r="959" spans="4:4">
      <c r="D959">
        <f t="shared" si="63"/>
        <v>4723.33915880229</v>
      </c>
    </row>
    <row r="960" spans="4:4">
      <c r="D960">
        <f t="shared" si="63"/>
        <v>4650.22014339713</v>
      </c>
    </row>
    <row r="961" spans="3:4">
      <c r="C961" t="s">
        <v>108</v>
      </c>
      <c r="D961">
        <f t="array" ref="D961:D963">lapack_dgesv(D952:F954,D958:D960)</f>
        <v>0.234569869999997</v>
      </c>
    </row>
    <row r="962" spans="4:4">
      <c r="D962">
        <v>10000.0000000001</v>
      </c>
    </row>
    <row r="963" spans="4:4">
      <c r="D963">
        <v>-0.471238898038521</v>
      </c>
    </row>
    <row r="964" spans="3:7">
      <c r="C964" t="s">
        <v>101</v>
      </c>
      <c r="D964">
        <f>D961*D962-D$13</f>
        <v>0</v>
      </c>
      <c r="G964">
        <f>SQRT(D964^2+D965^2+D966^2)</f>
        <v>0</v>
      </c>
    </row>
    <row r="965" spans="4:7">
      <c r="D965">
        <f>D961*SQRT(D962^2+2*D$12*D962*COS(D963)+D$12^2)-D$14</f>
        <v>0</v>
      </c>
      <c r="G965" t="e">
        <f>G964/G949</f>
        <v>#DIV/0!</v>
      </c>
    </row>
    <row r="966" spans="4:4">
      <c r="D966">
        <f>D961*SQRT(D962^2+2*D$12*D962*SIN(D963)+D$12^2)-D$15</f>
        <v>0</v>
      </c>
    </row>
    <row r="967" spans="3:6">
      <c r="C967" t="s">
        <v>102</v>
      </c>
      <c r="D967">
        <f>D962</f>
        <v>10000.0000000001</v>
      </c>
      <c r="E967">
        <f>D961</f>
        <v>0.234569869999997</v>
      </c>
      <c r="F967">
        <f>0</f>
        <v>0</v>
      </c>
    </row>
    <row r="968" spans="4:6">
      <c r="D968">
        <f>SQRT(D962^2+2*D$12*D962*COS(D963)+D$12^2)</f>
        <v>10178.6062944175</v>
      </c>
      <c r="E968">
        <f>D961*(D962+D$12*COS(D963))/D968</f>
        <v>0.234560536860438</v>
      </c>
      <c r="F968">
        <f>-D$12*D961*D962*SIN(D963)/D968</f>
        <v>20.9247689565432</v>
      </c>
    </row>
    <row r="969" spans="4:6">
      <c r="D969">
        <f>SQRT(D962^2+2*D$12*D962*SIN(D963)+D$12^2)</f>
        <v>9910.80410466497</v>
      </c>
      <c r="E969">
        <f>D961*(D962+D$12*SIN(D963))/D969</f>
        <v>0.234531948866277</v>
      </c>
      <c r="F969">
        <f>D$12*D961*D962*COS(D963)/D969</f>
        <v>42.1768571633123</v>
      </c>
    </row>
    <row r="970" spans="3:4">
      <c r="C970" t="s">
        <v>103</v>
      </c>
      <c r="D970">
        <f t="array" ref="D970">SUMPRODUCT(D961:D963,TRANSPOSE(D967:F967))</f>
        <v>4691.3974</v>
      </c>
    </row>
    <row r="971" spans="4:4">
      <c r="D971">
        <f t="array" ref="D971">SUMPRODUCT(D961:D963,TRANSPOSE(D968:F968))</f>
        <v>4723.33915880228</v>
      </c>
    </row>
    <row r="972" spans="4:4">
      <c r="D972">
        <f t="array" ref="D972">SUMPRODUCT(D961:D963,TRANSPOSE(D969:F969))</f>
        <v>4650.22014339713</v>
      </c>
    </row>
    <row r="973" spans="3:4">
      <c r="C973" t="s">
        <v>104</v>
      </c>
      <c r="D973">
        <f t="shared" ref="D973:D975" si="64">D970-D964</f>
        <v>4691.3974</v>
      </c>
    </row>
    <row r="974" spans="4:4">
      <c r="D974">
        <f t="shared" si="64"/>
        <v>4723.33915880228</v>
      </c>
    </row>
    <row r="975" spans="4:4">
      <c r="D975">
        <f t="shared" si="64"/>
        <v>4650.22014339713</v>
      </c>
    </row>
    <row r="976" spans="3:4">
      <c r="C976" t="s">
        <v>108</v>
      </c>
      <c r="D976">
        <f t="array" ref="D976:D978">lapack_dgesv(D967:F969,D973:D975)</f>
        <v>0.234569869999993</v>
      </c>
    </row>
    <row r="977" spans="4:4">
      <c r="D977">
        <v>10000.0000000003</v>
      </c>
    </row>
    <row r="978" spans="4:4">
      <c r="D978">
        <v>-0.471238898038498</v>
      </c>
    </row>
    <row r="979" spans="3:7">
      <c r="C979" t="s">
        <v>101</v>
      </c>
      <c r="D979">
        <f>D976*D977-D$13</f>
        <v>0</v>
      </c>
      <c r="G979">
        <f>SQRT(D979^2+D980^2+D981^2)</f>
        <v>0</v>
      </c>
    </row>
    <row r="980" spans="4:7">
      <c r="D980">
        <f>D976*SQRT(D977^2+2*D$12*D977*COS(D978)+D$12^2)-D$14</f>
        <v>0</v>
      </c>
      <c r="G980" t="e">
        <f>G979/G964</f>
        <v>#DIV/0!</v>
      </c>
    </row>
    <row r="981" spans="4:4">
      <c r="D981">
        <f>D976*SQRT(D977^2+2*D$12*D977*SIN(D978)+D$12^2)-D$15</f>
        <v>0</v>
      </c>
    </row>
    <row r="982" spans="3:6">
      <c r="C982" t="s">
        <v>102</v>
      </c>
      <c r="D982">
        <f>D977</f>
        <v>10000.0000000003</v>
      </c>
      <c r="E982">
        <f>D976</f>
        <v>0.234569869999993</v>
      </c>
      <c r="F982">
        <f>0</f>
        <v>0</v>
      </c>
    </row>
    <row r="983" spans="4:6">
      <c r="D983">
        <f>SQRT(D977^2+2*D$12*D977*COS(D978)+D$12^2)</f>
        <v>10178.6062944177</v>
      </c>
      <c r="E983">
        <f>D976*(D977+D$12*COS(D978))/D983</f>
        <v>0.234560536860434</v>
      </c>
      <c r="F983">
        <f>-D$12*D976*D977*SIN(D978)/D983</f>
        <v>20.9247689565419</v>
      </c>
    </row>
    <row r="984" spans="4:6">
      <c r="D984">
        <f>SQRT(D977^2+2*D$12*D977*SIN(D978)+D$12^2)</f>
        <v>9910.80410466513</v>
      </c>
      <c r="E984">
        <f>D976*(D977+D$12*SIN(D978))/D984</f>
        <v>0.234531948866273</v>
      </c>
      <c r="F984">
        <f>D$12*D976*D977*COS(D978)/D984</f>
        <v>42.1768571633121</v>
      </c>
    </row>
    <row r="985" spans="3:4">
      <c r="C985" t="s">
        <v>103</v>
      </c>
      <c r="D985">
        <f t="array" ref="D985">SUMPRODUCT(D976:D978,TRANSPOSE(D982:F982))</f>
        <v>4691.3974</v>
      </c>
    </row>
    <row r="986" spans="4:4">
      <c r="D986">
        <f t="array" ref="D986">SUMPRODUCT(D976:D978,TRANSPOSE(D983:F983))</f>
        <v>4723.33915880228</v>
      </c>
    </row>
    <row r="987" spans="4:4">
      <c r="D987">
        <f t="array" ref="D987">SUMPRODUCT(D976:D978,TRANSPOSE(D984:F984))</f>
        <v>4650.22014339713</v>
      </c>
    </row>
    <row r="988" spans="3:4">
      <c r="C988" t="s">
        <v>104</v>
      </c>
      <c r="D988">
        <f t="shared" ref="D988:D990" si="65">D985-D979</f>
        <v>4691.3974</v>
      </c>
    </row>
    <row r="989" spans="4:4">
      <c r="D989">
        <f t="shared" si="65"/>
        <v>4723.33915880228</v>
      </c>
    </row>
    <row r="990" spans="4:4">
      <c r="D990">
        <f t="shared" si="65"/>
        <v>4650.22014339713</v>
      </c>
    </row>
    <row r="991" spans="3:4">
      <c r="C991" t="s">
        <v>108</v>
      </c>
      <c r="D991">
        <f t="array" ref="D991:D993">lapack_dgesv(D982:F984,D988:D990)</f>
        <v>0.234569869999989</v>
      </c>
    </row>
    <row r="992" spans="4:4">
      <c r="D992">
        <v>10000.0000000005</v>
      </c>
    </row>
    <row r="993" spans="4:4">
      <c r="D993">
        <v>-0.471238898038505</v>
      </c>
    </row>
    <row r="994" spans="3:7">
      <c r="C994" t="s">
        <v>101</v>
      </c>
      <c r="D994">
        <f>D991*D992-D$13</f>
        <v>0</v>
      </c>
      <c r="G994">
        <f>SQRT(D994^2+D995^2+D996^2)</f>
        <v>0</v>
      </c>
    </row>
    <row r="995" spans="4:7">
      <c r="D995">
        <f>D991*SQRT(D992^2+2*D$12*D992*COS(D993)+D$12^2)-D$14</f>
        <v>0</v>
      </c>
      <c r="G995" t="e">
        <f>G994/G979</f>
        <v>#DIV/0!</v>
      </c>
    </row>
    <row r="996" spans="4:4">
      <c r="D996">
        <f>D991*SQRT(D992^2+2*D$12*D992*SIN(D993)+D$12^2)-D$15</f>
        <v>0</v>
      </c>
    </row>
    <row r="997" spans="3:6">
      <c r="C997" t="s">
        <v>102</v>
      </c>
      <c r="D997">
        <f>D992</f>
        <v>10000.0000000005</v>
      </c>
      <c r="E997">
        <f>D991</f>
        <v>0.234569869999989</v>
      </c>
      <c r="F997">
        <f>0</f>
        <v>0</v>
      </c>
    </row>
    <row r="998" spans="4:6">
      <c r="D998">
        <f>SQRT(D992^2+2*D$12*D992*COS(D993)+D$12^2)</f>
        <v>10178.6062944179</v>
      </c>
      <c r="E998">
        <f>D991*(D992+D$12*COS(D993))/D998</f>
        <v>0.23456053686043</v>
      </c>
      <c r="F998">
        <f>-D$12*D991*D992*SIN(D993)/D998</f>
        <v>20.9247689565418</v>
      </c>
    </row>
    <row r="999" spans="4:6">
      <c r="D999">
        <f>SQRT(D992^2+2*D$12*D992*SIN(D993)+D$12^2)</f>
        <v>9910.80410466532</v>
      </c>
      <c r="E999">
        <f>D991*(D992+D$12*SIN(D993))/D999</f>
        <v>0.234531948866269</v>
      </c>
      <c r="F999">
        <f>D$12*D991*D992*COS(D993)/D999</f>
        <v>42.1768571633111</v>
      </c>
    </row>
    <row r="1000" spans="3:4">
      <c r="C1000" t="s">
        <v>103</v>
      </c>
      <c r="D1000">
        <f t="array" ref="D1000">SUMPRODUCT(D991:D993,TRANSPOSE(D997:F997))</f>
        <v>4691.3974</v>
      </c>
    </row>
    <row r="1001" spans="4:4">
      <c r="D1001">
        <f t="array" ref="D1001">SUMPRODUCT(D991:D993,TRANSPOSE(D998:F998))</f>
        <v>4723.33915880228</v>
      </c>
    </row>
    <row r="1002" spans="4:4">
      <c r="D1002">
        <f t="array" ref="D1002">SUMPRODUCT(D991:D993,TRANSPOSE(D999:F999))</f>
        <v>4650.22014339713</v>
      </c>
    </row>
    <row r="1003" spans="3:4">
      <c r="C1003" t="s">
        <v>104</v>
      </c>
      <c r="D1003">
        <f t="shared" ref="D1003:D1005" si="66">D1000-D994</f>
        <v>4691.3974</v>
      </c>
    </row>
    <row r="1004" spans="4:4">
      <c r="D1004">
        <f t="shared" si="66"/>
        <v>4723.33915880228</v>
      </c>
    </row>
    <row r="1005" spans="4:4">
      <c r="D1005">
        <f t="shared" si="66"/>
        <v>4650.22014339713</v>
      </c>
    </row>
    <row r="1006" spans="3:4">
      <c r="C1006" t="s">
        <v>108</v>
      </c>
      <c r="D1006">
        <f t="array" ref="D1006:D1008">lapack_dgesv(D997:F999,D1003:D1005)</f>
        <v>0.234569869999986</v>
      </c>
    </row>
    <row r="1007" spans="4:4">
      <c r="D1007">
        <v>10000.0000000006</v>
      </c>
    </row>
    <row r="1008" spans="4:4">
      <c r="D1008">
        <v>-0.471238898038525</v>
      </c>
    </row>
    <row r="1009" spans="3:7">
      <c r="C1009" t="s">
        <v>101</v>
      </c>
      <c r="D1009">
        <f>D1006*D1007-D$13</f>
        <v>0</v>
      </c>
      <c r="G1009">
        <f>SQRT(D1009^2+D1010^2+D1011^2)</f>
        <v>0</v>
      </c>
    </row>
    <row r="1010" spans="4:7">
      <c r="D1010">
        <f>D1006*SQRT(D1007^2+2*D$12*D1007*COS(D1008)+D$12^2)-D$14</f>
        <v>0</v>
      </c>
      <c r="G1010" t="e">
        <f>G1009/G994</f>
        <v>#DIV/0!</v>
      </c>
    </row>
    <row r="1011" spans="4:4">
      <c r="D1011">
        <f>D1006*SQRT(D1007^2+2*D$12*D1007*SIN(D1008)+D$12^2)-D$15</f>
        <v>0</v>
      </c>
    </row>
    <row r="1012" spans="3:6">
      <c r="C1012" t="s">
        <v>102</v>
      </c>
      <c r="D1012">
        <f>D1007</f>
        <v>10000.0000000006</v>
      </c>
      <c r="E1012">
        <f>D1006</f>
        <v>0.234569869999986</v>
      </c>
      <c r="F1012">
        <f>0</f>
        <v>0</v>
      </c>
    </row>
    <row r="1013" spans="4:6">
      <c r="D1013">
        <f>SQRT(D1007^2+2*D$12*D1007*COS(D1008)+D$12^2)</f>
        <v>10178.606294418</v>
      </c>
      <c r="E1013">
        <f>D1006*(D1007+D$12*COS(D1008))/D1013</f>
        <v>0.234560536860426</v>
      </c>
      <c r="F1013">
        <f>-D$12*D1006*D1007*SIN(D1008)/D1013</f>
        <v>20.9247689565424</v>
      </c>
    </row>
    <row r="1014" spans="4:6">
      <c r="D1014">
        <f>SQRT(D1007^2+2*D$12*D1007*SIN(D1008)+D$12^2)</f>
        <v>9910.80410466545</v>
      </c>
      <c r="E1014">
        <f>D1006*(D1007+D$12*SIN(D1008))/D1014</f>
        <v>0.234531948866265</v>
      </c>
      <c r="F1014">
        <f>D$12*D1006*D1007*COS(D1008)/D1014</f>
        <v>42.1768571633102</v>
      </c>
    </row>
    <row r="1015" spans="3:4">
      <c r="C1015" t="s">
        <v>103</v>
      </c>
      <c r="D1015">
        <f t="array" ref="D1015">SUMPRODUCT(D1006:D1008,TRANSPOSE(D1012:F1012))</f>
        <v>4691.3974</v>
      </c>
    </row>
    <row r="1016" spans="4:4">
      <c r="D1016">
        <f t="array" ref="D1016">SUMPRODUCT(D1006:D1008,TRANSPOSE(D1013:F1013))</f>
        <v>4723.33915880228</v>
      </c>
    </row>
    <row r="1017" spans="4:4">
      <c r="D1017">
        <f t="array" ref="D1017">SUMPRODUCT(D1006:D1008,TRANSPOSE(D1014:F1014))</f>
        <v>4650.22014339713</v>
      </c>
    </row>
    <row r="1018" spans="3:4">
      <c r="C1018" t="s">
        <v>104</v>
      </c>
      <c r="D1018">
        <f t="shared" ref="D1018:D1020" si="67">D1015-D1009</f>
        <v>4691.3974</v>
      </c>
    </row>
    <row r="1019" spans="4:4">
      <c r="D1019">
        <f t="shared" si="67"/>
        <v>4723.33915880228</v>
      </c>
    </row>
    <row r="1020" spans="4:4">
      <c r="D1020">
        <f t="shared" si="67"/>
        <v>4650.22014339713</v>
      </c>
    </row>
    <row r="1021" spans="3:4">
      <c r="C1021" t="s">
        <v>108</v>
      </c>
      <c r="D1021">
        <f t="array" ref="D1021:D1023">lapack_dgesv(D1012:F1014,D1018:D1020)</f>
        <v>0.234569869999988</v>
      </c>
    </row>
    <row r="1022" spans="4:4">
      <c r="D1022">
        <v>10000.0000000005</v>
      </c>
    </row>
    <row r="1023" spans="4:4">
      <c r="D1023">
        <v>-0.471238898038545</v>
      </c>
    </row>
    <row r="1024" spans="3:7">
      <c r="C1024" t="s">
        <v>101</v>
      </c>
      <c r="D1024">
        <f>D1021*D1022-D$13</f>
        <v>0</v>
      </c>
      <c r="G1024">
        <f>SQRT(D1024^2+D1025^2+D1026^2)</f>
        <v>0</v>
      </c>
    </row>
    <row r="1025" spans="4:7">
      <c r="D1025">
        <f>D1021*SQRT(D1022^2+2*D$12*D1022*COS(D1023)+D$12^2)-D$14</f>
        <v>0</v>
      </c>
      <c r="G1025" t="e">
        <f>G1024/G1009</f>
        <v>#DIV/0!</v>
      </c>
    </row>
    <row r="1026" spans="4:4">
      <c r="D1026">
        <f>D1021*SQRT(D1022^2+2*D$12*D1022*SIN(D1023)+D$12^2)-D$15</f>
        <v>0</v>
      </c>
    </row>
    <row r="1027" spans="3:6">
      <c r="C1027" t="s">
        <v>102</v>
      </c>
      <c r="D1027">
        <f>D1022</f>
        <v>10000.0000000005</v>
      </c>
      <c r="E1027">
        <f>D1021</f>
        <v>0.234569869999988</v>
      </c>
      <c r="F1027">
        <f>0</f>
        <v>0</v>
      </c>
    </row>
    <row r="1028" spans="4:6">
      <c r="D1028">
        <f>SQRT(D1022^2+2*D$12*D1022*COS(D1023)+D$12^2)</f>
        <v>10178.6062944179</v>
      </c>
      <c r="E1028">
        <f>D1021*(D1022+D$12*COS(D1023))/D1028</f>
        <v>0.234560536860428</v>
      </c>
      <c r="F1028">
        <f>-D$12*D1021*D1022*SIN(D1023)/D1028</f>
        <v>20.9247689565433</v>
      </c>
    </row>
    <row r="1029" spans="4:6">
      <c r="D1029">
        <f>SQRT(D1022^2+2*D$12*D1022*SIN(D1023)+D$12^2)</f>
        <v>9910.80410466538</v>
      </c>
      <c r="E1029">
        <f>D1021*(D1022+D$12*SIN(D1023))/D1029</f>
        <v>0.234531948866267</v>
      </c>
      <c r="F1029">
        <f>D$12*D1021*D1022*COS(D1023)/D1029</f>
        <v>42.1768571633101</v>
      </c>
    </row>
    <row r="1030" spans="3:4">
      <c r="C1030" t="s">
        <v>103</v>
      </c>
      <c r="D1030">
        <f t="array" ref="D1030">SUMPRODUCT(D1021:D1023,TRANSPOSE(D1027:F1027))</f>
        <v>4691.3974</v>
      </c>
    </row>
    <row r="1031" spans="4:4">
      <c r="D1031">
        <f t="array" ref="D1031">SUMPRODUCT(D1021:D1023,TRANSPOSE(D1028:F1028))</f>
        <v>4723.33915880228</v>
      </c>
    </row>
    <row r="1032" spans="4:4">
      <c r="D1032">
        <f t="array" ref="D1032">SUMPRODUCT(D1021:D1023,TRANSPOSE(D1029:F1029))</f>
        <v>4650.22014339713</v>
      </c>
    </row>
    <row r="1033" spans="3:4">
      <c r="C1033" t="s">
        <v>104</v>
      </c>
      <c r="D1033">
        <f t="shared" ref="D1033:D1035" si="68">D1030-D1024</f>
        <v>4691.3974</v>
      </c>
    </row>
    <row r="1034" spans="4:4">
      <c r="D1034">
        <f t="shared" si="68"/>
        <v>4723.33915880228</v>
      </c>
    </row>
    <row r="1035" spans="4:4">
      <c r="D1035">
        <f t="shared" si="68"/>
        <v>4650.22014339713</v>
      </c>
    </row>
    <row r="1036" spans="3:4">
      <c r="C1036" t="s">
        <v>108</v>
      </c>
      <c r="D1036">
        <f t="array" ref="D1036:D1038">lapack_dgesv(D1027:F1029,D1033:D1035)</f>
        <v>0.234569869999984</v>
      </c>
    </row>
    <row r="1037" spans="4:4">
      <c r="D1037">
        <v>10000.0000000007</v>
      </c>
    </row>
    <row r="1038" spans="4:4">
      <c r="D1038">
        <v>-0.471238898038537</v>
      </c>
    </row>
    <row r="1039" spans="3:7">
      <c r="C1039" t="s">
        <v>101</v>
      </c>
      <c r="D1039">
        <f>D1036*D1037-D$13</f>
        <v>0</v>
      </c>
      <c r="G1039">
        <f>SQRT(D1039^2+D1040^2+D1041^2)</f>
        <v>0</v>
      </c>
    </row>
    <row r="1040" spans="4:7">
      <c r="D1040">
        <f>D1036*SQRT(D1037^2+2*D$12*D1037*COS(D1038)+D$12^2)-D$14</f>
        <v>0</v>
      </c>
      <c r="G1040" t="e">
        <f>G1039/G1024</f>
        <v>#DIV/0!</v>
      </c>
    </row>
    <row r="1041" spans="4:4">
      <c r="D1041">
        <f>D1036*SQRT(D1037^2+2*D$12*D1037*SIN(D1038)+D$12^2)-D$15</f>
        <v>0</v>
      </c>
    </row>
    <row r="1042" spans="3:6">
      <c r="C1042" t="s">
        <v>102</v>
      </c>
      <c r="D1042">
        <f>D1037</f>
        <v>10000.0000000007</v>
      </c>
      <c r="E1042">
        <f>D1036</f>
        <v>0.234569869999984</v>
      </c>
      <c r="F1042">
        <f>0</f>
        <v>0</v>
      </c>
    </row>
    <row r="1043" spans="4:6">
      <c r="D1043">
        <f>SQRT(D1037^2+2*D$12*D1037*COS(D1038)+D$12^2)</f>
        <v>10178.6062944181</v>
      </c>
      <c r="E1043">
        <f>D1036*(D1037+D$12*COS(D1038))/D1043</f>
        <v>0.234560536860425</v>
      </c>
      <c r="F1043">
        <f>-D$12*D1036*D1037*SIN(D1038)/D1043</f>
        <v>20.9247689565427</v>
      </c>
    </row>
    <row r="1044" spans="4:6">
      <c r="D1044">
        <f>SQRT(D1037^2+2*D$12*D1037*SIN(D1038)+D$12^2)</f>
        <v>9910.80410466553</v>
      </c>
      <c r="E1044">
        <f>D1036*(D1037+D$12*SIN(D1038))/D1044</f>
        <v>0.234531948866264</v>
      </c>
      <c r="F1044">
        <f>D$12*D1036*D1037*COS(D1038)/D1044</f>
        <v>42.1768571633096</v>
      </c>
    </row>
    <row r="1045" spans="3:4">
      <c r="C1045" t="s">
        <v>103</v>
      </c>
      <c r="D1045">
        <f t="array" ref="D1045">SUMPRODUCT(D1036:D1038,TRANSPOSE(D1042:F1042))</f>
        <v>4691.3974</v>
      </c>
    </row>
    <row r="1046" spans="4:4">
      <c r="D1046">
        <f t="array" ref="D1046">SUMPRODUCT(D1036:D1038,TRANSPOSE(D1043:F1043))</f>
        <v>4723.33915880228</v>
      </c>
    </row>
    <row r="1047" spans="4:4">
      <c r="D1047">
        <f t="array" ref="D1047">SUMPRODUCT(D1036:D1038,TRANSPOSE(D1044:F1044))</f>
        <v>4650.22014339713</v>
      </c>
    </row>
    <row r="1048" spans="3:4">
      <c r="C1048" t="s">
        <v>104</v>
      </c>
      <c r="D1048">
        <f t="shared" ref="D1048:D1050" si="69">D1045-D1039</f>
        <v>4691.3974</v>
      </c>
    </row>
    <row r="1049" spans="4:4">
      <c r="D1049">
        <f t="shared" si="69"/>
        <v>4723.33915880228</v>
      </c>
    </row>
    <row r="1050" spans="4:4">
      <c r="D1050">
        <f t="shared" si="69"/>
        <v>4650.22014339713</v>
      </c>
    </row>
    <row r="1051" spans="3:4">
      <c r="C1051" t="s">
        <v>108</v>
      </c>
      <c r="D1051">
        <f t="array" ref="D1051:D1053">lapack_dgesv(D1042:F1044,D1048:D1050)</f>
        <v>0.234569869999985</v>
      </c>
    </row>
    <row r="1052" spans="4:4">
      <c r="D1052">
        <v>10000.0000000006</v>
      </c>
    </row>
    <row r="1053" spans="4:4">
      <c r="D1053">
        <v>-0.471238898038538</v>
      </c>
    </row>
    <row r="1054" spans="3:7">
      <c r="C1054" t="s">
        <v>101</v>
      </c>
      <c r="D1054">
        <f>D1051*D1052-D$13</f>
        <v>0</v>
      </c>
      <c r="G1054">
        <f>SQRT(D1054^2+D1055^2+D1056^2)</f>
        <v>0</v>
      </c>
    </row>
    <row r="1055" spans="4:7">
      <c r="D1055">
        <f>D1051*SQRT(D1052^2+2*D$12*D1052*COS(D1053)+D$12^2)-D$14</f>
        <v>0</v>
      </c>
      <c r="G1055" t="e">
        <f>G1054/G1039</f>
        <v>#DIV/0!</v>
      </c>
    </row>
    <row r="1056" spans="4:4">
      <c r="D1056">
        <f>D1051*SQRT(D1052^2+2*D$12*D1052*SIN(D1053)+D$12^2)-D$15</f>
        <v>0</v>
      </c>
    </row>
    <row r="1057" spans="3:6">
      <c r="C1057" t="s">
        <v>102</v>
      </c>
      <c r="D1057">
        <f>D1052</f>
        <v>10000.0000000006</v>
      </c>
      <c r="E1057">
        <f>D1051</f>
        <v>0.234569869999985</v>
      </c>
      <c r="F1057">
        <f>0</f>
        <v>0</v>
      </c>
    </row>
    <row r="1058" spans="4:6">
      <c r="D1058">
        <f>SQRT(D1052^2+2*D$12*D1052*COS(D1053)+D$12^2)</f>
        <v>10178.606294418</v>
      </c>
      <c r="E1058">
        <f>D1051*(D1052+D$12*COS(D1053))/D1058</f>
        <v>0.234560536860426</v>
      </c>
      <c r="F1058">
        <f>-D$12*D1051*D1052*SIN(D1053)/D1058</f>
        <v>20.9247689565429</v>
      </c>
    </row>
    <row r="1059" spans="4:6">
      <c r="D1059">
        <f>SQRT(D1052^2+2*D$12*D1052*SIN(D1053)+D$12^2)</f>
        <v>9910.80410466547</v>
      </c>
      <c r="E1059">
        <f>D1051*(D1052+D$12*SIN(D1053))/D1059</f>
        <v>0.234531948866265</v>
      </c>
      <c r="F1059">
        <f>D$12*D1051*D1052*COS(D1053)/D1059</f>
        <v>42.1768571633098</v>
      </c>
    </row>
    <row r="1060" spans="3:4">
      <c r="C1060" t="s">
        <v>103</v>
      </c>
      <c r="D1060">
        <f t="array" ref="D1060">SUMPRODUCT(D1051:D1053,TRANSPOSE(D1057:F1057))</f>
        <v>4691.3974</v>
      </c>
    </row>
    <row r="1061" spans="4:4">
      <c r="D1061">
        <f t="array" ref="D1061">SUMPRODUCT(D1051:D1053,TRANSPOSE(D1058:F1058))</f>
        <v>4723.33915880228</v>
      </c>
    </row>
    <row r="1062" spans="4:4">
      <c r="D1062">
        <f t="array" ref="D1062">SUMPRODUCT(D1051:D1053,TRANSPOSE(D1059:F1059))</f>
        <v>4650.22014339713</v>
      </c>
    </row>
    <row r="1063" spans="3:4">
      <c r="C1063" t="s">
        <v>104</v>
      </c>
      <c r="D1063">
        <f t="shared" ref="D1063:D1065" si="70">D1060-D1054</f>
        <v>4691.3974</v>
      </c>
    </row>
    <row r="1064" spans="4:4">
      <c r="D1064">
        <f t="shared" si="70"/>
        <v>4723.33915880228</v>
      </c>
    </row>
    <row r="1065" spans="4:4">
      <c r="D1065">
        <f t="shared" si="70"/>
        <v>4650.22014339713</v>
      </c>
    </row>
    <row r="1066" spans="3:4">
      <c r="C1066" t="s">
        <v>108</v>
      </c>
      <c r="D1066">
        <f t="array" ref="D1066:D1068">lapack_dgesv(D1057:F1059,D1063:D1065)</f>
        <v>0.234569869999984</v>
      </c>
    </row>
    <row r="1067" spans="4:4">
      <c r="D1067">
        <v>10000.0000000007</v>
      </c>
    </row>
    <row r="1068" spans="4:4">
      <c r="D1068">
        <v>-0.471238898038541</v>
      </c>
    </row>
    <row r="1069" spans="3:7">
      <c r="C1069" t="s">
        <v>101</v>
      </c>
      <c r="D1069">
        <f>D1066*D1067-D$13</f>
        <v>0</v>
      </c>
      <c r="G1069">
        <f>SQRT(D1069^2+D1070^2+D1071^2)</f>
        <v>0</v>
      </c>
    </row>
    <row r="1070" spans="4:7">
      <c r="D1070">
        <f>D1066*SQRT(D1067^2+2*D$12*D1067*COS(D1068)+D$12^2)-D$14</f>
        <v>0</v>
      </c>
      <c r="G1070" t="e">
        <f>G1069/G1054</f>
        <v>#DIV/0!</v>
      </c>
    </row>
    <row r="1071" spans="4:4">
      <c r="D1071">
        <f>D1066*SQRT(D1067^2+2*D$12*D1067*SIN(D1068)+D$12^2)-D$15</f>
        <v>0</v>
      </c>
    </row>
    <row r="1072" spans="3:6">
      <c r="C1072" t="s">
        <v>102</v>
      </c>
      <c r="D1072">
        <f>D1067</f>
        <v>10000.0000000007</v>
      </c>
      <c r="E1072">
        <f>D1066</f>
        <v>0.234569869999984</v>
      </c>
      <c r="F1072">
        <f>0</f>
        <v>0</v>
      </c>
    </row>
    <row r="1073" spans="4:6">
      <c r="D1073">
        <f>SQRT(D1067^2+2*D$12*D1067*COS(D1068)+D$12^2)</f>
        <v>10178.6062944181</v>
      </c>
      <c r="E1073">
        <f>D1066*(D1067+D$12*COS(D1068))/D1073</f>
        <v>0.234560536860425</v>
      </c>
      <c r="F1073">
        <f>-D$12*D1066*D1067*SIN(D1068)/D1073</f>
        <v>20.9247689565429</v>
      </c>
    </row>
    <row r="1074" spans="4:6">
      <c r="D1074">
        <f>SQRT(D1067^2+2*D$12*D1067*SIN(D1068)+D$12^2)</f>
        <v>9910.80410466551</v>
      </c>
      <c r="E1074">
        <f>D1066*(D1067+D$12*SIN(D1068))/D1074</f>
        <v>0.234531948866264</v>
      </c>
      <c r="F1074">
        <f>D$12*D1066*D1067*COS(D1068)/D1074</f>
        <v>42.1768571633096</v>
      </c>
    </row>
    <row r="1075" spans="3:4">
      <c r="C1075" t="s">
        <v>103</v>
      </c>
      <c r="D1075">
        <f t="array" ref="D1075">SUMPRODUCT(D1066:D1068,TRANSPOSE(D1072:F1072))</f>
        <v>4691.3974</v>
      </c>
    </row>
    <row r="1076" spans="4:4">
      <c r="D1076">
        <f t="array" ref="D1076">SUMPRODUCT(D1066:D1068,TRANSPOSE(D1073:F1073))</f>
        <v>4723.33915880228</v>
      </c>
    </row>
    <row r="1077" spans="4:4">
      <c r="D1077">
        <f t="array" ref="D1077">SUMPRODUCT(D1066:D1068,TRANSPOSE(D1074:F1074))</f>
        <v>4650.22014339713</v>
      </c>
    </row>
    <row r="1078" spans="3:4">
      <c r="C1078" t="s">
        <v>104</v>
      </c>
      <c r="D1078">
        <f t="shared" ref="D1078:D1080" si="71">D1075-D1069</f>
        <v>4691.3974</v>
      </c>
    </row>
    <row r="1079" spans="4:4">
      <c r="D1079">
        <f t="shared" si="71"/>
        <v>4723.33915880228</v>
      </c>
    </row>
    <row r="1080" spans="4:4">
      <c r="D1080">
        <f t="shared" si="71"/>
        <v>4650.22014339713</v>
      </c>
    </row>
    <row r="1081" spans="3:4">
      <c r="C1081" t="s">
        <v>108</v>
      </c>
      <c r="D1081">
        <f t="array" ref="D1081:D1083">lapack_dgesv(D1072:F1074,D1078:D1080)</f>
        <v>0.234569869999985</v>
      </c>
    </row>
    <row r="1082" spans="4:4">
      <c r="D1082">
        <v>10000.0000000006</v>
      </c>
    </row>
    <row r="1083" spans="4:4">
      <c r="D1083">
        <v>-0.471238898038541</v>
      </c>
    </row>
    <row r="1084" spans="3:7">
      <c r="C1084" t="s">
        <v>101</v>
      </c>
      <c r="D1084">
        <f>D1081*D1082-D$13</f>
        <v>0</v>
      </c>
      <c r="G1084">
        <f>SQRT(D1084^2+D1085^2+D1086^2)</f>
        <v>0</v>
      </c>
    </row>
    <row r="1085" spans="4:7">
      <c r="D1085">
        <f>D1081*SQRT(D1082^2+2*D$12*D1082*COS(D1083)+D$12^2)-D$14</f>
        <v>0</v>
      </c>
      <c r="G1085" t="e">
        <f>G1084/G1069</f>
        <v>#DIV/0!</v>
      </c>
    </row>
    <row r="1086" spans="4:4">
      <c r="D1086">
        <f>D1081*SQRT(D1082^2+2*D$12*D1082*SIN(D1083)+D$12^2)-D$15</f>
        <v>0</v>
      </c>
    </row>
    <row r="1087" spans="3:6">
      <c r="C1087" t="s">
        <v>102</v>
      </c>
      <c r="D1087">
        <f>D1082</f>
        <v>10000.0000000006</v>
      </c>
      <c r="E1087">
        <f>D1081</f>
        <v>0.234569869999985</v>
      </c>
      <c r="F1087">
        <f>0</f>
        <v>0</v>
      </c>
    </row>
    <row r="1088" spans="4:6">
      <c r="D1088">
        <f>SQRT(D1082^2+2*D$12*D1082*COS(D1083)+D$12^2)</f>
        <v>10178.606294418</v>
      </c>
      <c r="E1088">
        <f>D1081*(D1082+D$12*COS(D1083))/D1088</f>
        <v>0.234560536860425</v>
      </c>
      <c r="F1088">
        <f>-D$12*D1081*D1082*SIN(D1083)/D1088</f>
        <v>20.9247689565429</v>
      </c>
    </row>
    <row r="1089" spans="4:6">
      <c r="D1089">
        <f>SQRT(D1082^2+2*D$12*D1082*SIN(D1083)+D$12^2)</f>
        <v>9910.80410466549</v>
      </c>
      <c r="E1089">
        <f>D1081*(D1082+D$12*SIN(D1083))/D1089</f>
        <v>0.234531948866264</v>
      </c>
      <c r="F1089">
        <f>D$12*D1081*D1082*COS(D1083)/D1089</f>
        <v>42.1768571633096</v>
      </c>
    </row>
    <row r="1090" spans="3:4">
      <c r="C1090" t="s">
        <v>103</v>
      </c>
      <c r="D1090">
        <f t="array" ref="D1090">SUMPRODUCT(D1081:D1083,TRANSPOSE(D1087:F1087))</f>
        <v>4691.3974</v>
      </c>
    </row>
    <row r="1091" spans="4:4">
      <c r="D1091">
        <f t="array" ref="D1091">SUMPRODUCT(D1081:D1083,TRANSPOSE(D1088:F1088))</f>
        <v>4723.33915880228</v>
      </c>
    </row>
    <row r="1092" spans="4:4">
      <c r="D1092">
        <f t="array" ref="D1092">SUMPRODUCT(D1081:D1083,TRANSPOSE(D1089:F1089))</f>
        <v>4650.22014339713</v>
      </c>
    </row>
    <row r="1093" spans="3:4">
      <c r="C1093" t="s">
        <v>104</v>
      </c>
      <c r="D1093">
        <f t="shared" ref="D1093:D1095" si="72">D1090-D1084</f>
        <v>4691.3974</v>
      </c>
    </row>
    <row r="1094" spans="4:4">
      <c r="D1094">
        <f t="shared" si="72"/>
        <v>4723.33915880228</v>
      </c>
    </row>
    <row r="1095" spans="4:4">
      <c r="D1095">
        <f t="shared" si="72"/>
        <v>4650.22014339713</v>
      </c>
    </row>
    <row r="1096" spans="3:4">
      <c r="C1096" t="s">
        <v>108</v>
      </c>
      <c r="D1096">
        <f t="array" ref="D1096:D1098">lapack_dgesv(D1087:F1089,D1093:D1095)</f>
        <v>0.234569869999985</v>
      </c>
    </row>
    <row r="1097" spans="4:4">
      <c r="D1097">
        <v>10000.0000000006</v>
      </c>
    </row>
    <row r="1098" spans="4:4">
      <c r="D1098">
        <v>-0.471238898038535</v>
      </c>
    </row>
    <row r="1099" spans="3:7">
      <c r="C1099" t="s">
        <v>101</v>
      </c>
      <c r="D1099">
        <f>D1096*D1097-D$13</f>
        <v>0</v>
      </c>
      <c r="G1099">
        <f>SQRT(D1099^2+D1100^2+D1101^2)</f>
        <v>0</v>
      </c>
    </row>
    <row r="1100" spans="4:7">
      <c r="D1100">
        <f>D1096*SQRT(D1097^2+2*D$12*D1097*COS(D1098)+D$12^2)-D$14</f>
        <v>0</v>
      </c>
      <c r="G1100" t="e">
        <f>G1099/G1084</f>
        <v>#DIV/0!</v>
      </c>
    </row>
    <row r="1101" spans="4:4">
      <c r="D1101">
        <f>D1096*SQRT(D1097^2+2*D$12*D1097*SIN(D1098)+D$12^2)-D$15</f>
        <v>0</v>
      </c>
    </row>
    <row r="1102" spans="3:6">
      <c r="C1102" t="s">
        <v>102</v>
      </c>
      <c r="D1102">
        <f>D1097</f>
        <v>10000.0000000006</v>
      </c>
      <c r="E1102">
        <f>D1096</f>
        <v>0.234569869999985</v>
      </c>
      <c r="F1102">
        <f>0</f>
        <v>0</v>
      </c>
    </row>
    <row r="1103" spans="4:6">
      <c r="D1103">
        <f>SQRT(D1097^2+2*D$12*D1097*COS(D1098)+D$12^2)</f>
        <v>10178.606294418</v>
      </c>
      <c r="E1103">
        <f>D1096*(D1097+D$12*COS(D1098))/D1103</f>
        <v>0.234560536860425</v>
      </c>
      <c r="F1103">
        <f>-D$12*D1096*D1097*SIN(D1098)/D1103</f>
        <v>20.9247689565427</v>
      </c>
    </row>
    <row r="1104" spans="4:6">
      <c r="D1104">
        <f>SQRT(D1097^2+2*D$12*D1097*SIN(D1098)+D$12^2)</f>
        <v>9910.80410466549</v>
      </c>
      <c r="E1104">
        <f>D1096*(D1097+D$12*SIN(D1098))/D1104</f>
        <v>0.234531948866264</v>
      </c>
      <c r="F1104">
        <f>D$12*D1096*D1097*COS(D1098)/D1104</f>
        <v>42.1768571633098</v>
      </c>
    </row>
    <row r="1105" spans="3:4">
      <c r="C1105" t="s">
        <v>103</v>
      </c>
      <c r="D1105">
        <f t="array" ref="D1105">SUMPRODUCT(D1096:D1098,TRANSPOSE(D1102:F1102))</f>
        <v>4691.3974</v>
      </c>
    </row>
    <row r="1106" spans="4:4">
      <c r="D1106">
        <f t="array" ref="D1106">SUMPRODUCT(D1096:D1098,TRANSPOSE(D1103:F1103))</f>
        <v>4723.33915880228</v>
      </c>
    </row>
    <row r="1107" spans="4:4">
      <c r="D1107">
        <f t="array" ref="D1107">SUMPRODUCT(D1096:D1098,TRANSPOSE(D1104:F1104))</f>
        <v>4650.22014339713</v>
      </c>
    </row>
    <row r="1108" spans="3:4">
      <c r="C1108" t="s">
        <v>104</v>
      </c>
      <c r="D1108">
        <f t="shared" ref="D1108:D1110" si="73">D1105-D1099</f>
        <v>4691.3974</v>
      </c>
    </row>
    <row r="1109" spans="4:4">
      <c r="D1109">
        <f t="shared" si="73"/>
        <v>4723.33915880228</v>
      </c>
    </row>
    <row r="1110" spans="4:4">
      <c r="D1110">
        <f t="shared" si="73"/>
        <v>4650.22014339713</v>
      </c>
    </row>
    <row r="1111" spans="3:4">
      <c r="C1111" t="s">
        <v>108</v>
      </c>
      <c r="D1111">
        <f t="array" ref="D1111:D1113">lapack_dgesv(D1102:F1104,D1108:D1110)</f>
        <v>0.234569869999987</v>
      </c>
    </row>
    <row r="1112" spans="4:4">
      <c r="D1112">
        <v>10000.0000000006</v>
      </c>
    </row>
    <row r="1113" spans="4:4">
      <c r="D1113">
        <v>-0.471238898038542</v>
      </c>
    </row>
    <row r="1114" spans="3:7">
      <c r="C1114" t="s">
        <v>101</v>
      </c>
      <c r="D1114">
        <f>D1111*D1112-D$13</f>
        <v>0</v>
      </c>
      <c r="G1114">
        <f>SQRT(D1114^2+D1115^2+D1116^2)</f>
        <v>0</v>
      </c>
    </row>
    <row r="1115" spans="4:7">
      <c r="D1115">
        <f>D1111*SQRT(D1112^2+2*D$12*D1112*COS(D1113)+D$12^2)-D$14</f>
        <v>0</v>
      </c>
      <c r="G1115" t="e">
        <f>G1114/G1099</f>
        <v>#DIV/0!</v>
      </c>
    </row>
    <row r="1116" spans="4:4">
      <c r="D1116">
        <f>D1111*SQRT(D1112^2+2*D$12*D1112*SIN(D1113)+D$12^2)-D$15</f>
        <v>0</v>
      </c>
    </row>
    <row r="1117" spans="3:6">
      <c r="C1117" t="s">
        <v>102</v>
      </c>
      <c r="D1117">
        <f>D1112</f>
        <v>10000.0000000006</v>
      </c>
      <c r="E1117">
        <f>D1111</f>
        <v>0.234569869999987</v>
      </c>
      <c r="F1117">
        <f>0</f>
        <v>0</v>
      </c>
    </row>
    <row r="1118" spans="4:6">
      <c r="D1118">
        <f>SQRT(D1112^2+2*D$12*D1112*COS(D1113)+D$12^2)</f>
        <v>10178.606294418</v>
      </c>
      <c r="E1118">
        <f>D1111*(D1112+D$12*COS(D1113))/D1118</f>
        <v>0.234560536860427</v>
      </c>
      <c r="F1118">
        <f>-D$12*D1111*D1112*SIN(D1113)/D1118</f>
        <v>20.9247689565432</v>
      </c>
    </row>
    <row r="1119" spans="4:6">
      <c r="D1119">
        <f>SQRT(D1112^2+2*D$12*D1112*SIN(D1113)+D$12^2)</f>
        <v>9910.80410466541</v>
      </c>
      <c r="E1119">
        <f>D1111*(D1112+D$12*SIN(D1113))/D1119</f>
        <v>0.234531948866266</v>
      </c>
      <c r="F1119">
        <f>D$12*D1111*D1112*COS(D1113)/D1119</f>
        <v>42.17685716331</v>
      </c>
    </row>
    <row r="1120" spans="3:4">
      <c r="C1120" t="s">
        <v>103</v>
      </c>
      <c r="D1120">
        <f t="array" ref="D1120">SUMPRODUCT(D1111:D1113,TRANSPOSE(D1117:F1117))</f>
        <v>4691.3974</v>
      </c>
    </row>
    <row r="1121" spans="4:4">
      <c r="D1121">
        <f t="array" ref="D1121">SUMPRODUCT(D1111:D1113,TRANSPOSE(D1118:F1118))</f>
        <v>4723.33915880228</v>
      </c>
    </row>
    <row r="1122" spans="4:4">
      <c r="D1122">
        <f t="array" ref="D1122">SUMPRODUCT(D1111:D1113,TRANSPOSE(D1119:F1119))</f>
        <v>4650.22014339713</v>
      </c>
    </row>
    <row r="1123" spans="3:4">
      <c r="C1123" t="s">
        <v>104</v>
      </c>
      <c r="D1123">
        <f t="shared" ref="D1123:D1125" si="74">D1120-D1114</f>
        <v>4691.3974</v>
      </c>
    </row>
    <row r="1124" spans="4:4">
      <c r="D1124">
        <f t="shared" si="74"/>
        <v>4723.33915880228</v>
      </c>
    </row>
    <row r="1125" spans="4:4">
      <c r="D1125">
        <f t="shared" si="74"/>
        <v>4650.22014339713</v>
      </c>
    </row>
    <row r="1126" spans="3:4">
      <c r="C1126" t="s">
        <v>108</v>
      </c>
      <c r="D1126">
        <f t="array" ref="D1126:D1128">lapack_dgesv(D1117:F1119,D1123:D1125)</f>
        <v>0.234569869999986</v>
      </c>
    </row>
    <row r="1127" spans="4:4">
      <c r="D1127">
        <v>10000.0000000006</v>
      </c>
    </row>
    <row r="1128" spans="4:4">
      <c r="D1128">
        <v>-0.471238898038546</v>
      </c>
    </row>
    <row r="1129" spans="3:4">
      <c r="C1129" t="s">
        <v>101</v>
      </c>
      <c r="D1129">
        <f>D1126*D1127-D$13</f>
        <v>0</v>
      </c>
    </row>
    <row r="1130" spans="4:4">
      <c r="D1130">
        <f>D1126*SQRT(D1127^2+2*D$12*D1127*COS(D1128)+D$12^2)-D$14</f>
        <v>0</v>
      </c>
    </row>
    <row r="1131" spans="4:4">
      <c r="D1131">
        <f>D1126*SQRT(D1127^2+2*D$12*D1127*SIN(D1128)+D$12^2)-D$15</f>
        <v>0</v>
      </c>
    </row>
    <row r="1132" spans="3:6">
      <c r="C1132" t="s">
        <v>102</v>
      </c>
      <c r="D1132">
        <f>D1127</f>
        <v>10000.0000000006</v>
      </c>
      <c r="E1132">
        <f>D1126</f>
        <v>0.234569869999986</v>
      </c>
      <c r="F1132">
        <f>0</f>
        <v>0</v>
      </c>
    </row>
    <row r="1133" spans="4:6">
      <c r="D1133">
        <f>SQRT(D1127^2+2*D$12*D1127*COS(D1128)+D$12^2)</f>
        <v>10178.606294418</v>
      </c>
      <c r="E1133">
        <f>D1126*(D1127+D$12*COS(D1128))/D1133</f>
        <v>0.234560536860426</v>
      </c>
      <c r="F1133">
        <f>-D$12*D1126*D1127*SIN(D1128)/D1133</f>
        <v>20.9247689565432</v>
      </c>
    </row>
    <row r="1134" spans="4:6">
      <c r="D1134">
        <f>SQRT(D1127^2+2*D$12*D1127*SIN(D1128)+D$12^2)</f>
        <v>9910.80410466545</v>
      </c>
      <c r="E1134">
        <f>D1126*(D1127+D$12*SIN(D1128))/D1134</f>
        <v>0.234531948866265</v>
      </c>
      <c r="F1134">
        <f>D$12*D1126*D1127*COS(D1128)/D1134</f>
        <v>42.1768571633097</v>
      </c>
    </row>
    <row r="1135" spans="3:4">
      <c r="C1135" t="s">
        <v>103</v>
      </c>
      <c r="D1135">
        <f t="array" ref="D1135">SUMPRODUCT(D1126:D1128,TRANSPOSE(D1132:F1132))</f>
        <v>4691.3974</v>
      </c>
    </row>
    <row r="1136" spans="4:4">
      <c r="D1136">
        <f t="array" ref="D1136">SUMPRODUCT(D1126:D1128,TRANSPOSE(D1133:F1133))</f>
        <v>4723.33915880228</v>
      </c>
    </row>
    <row r="1137" spans="4:4">
      <c r="D1137">
        <f t="array" ref="D1137">SUMPRODUCT(D1126:D1128,TRANSPOSE(D1134:F1134))</f>
        <v>4650.22014339713</v>
      </c>
    </row>
    <row r="1138" spans="3:4">
      <c r="C1138" t="s">
        <v>104</v>
      </c>
      <c r="D1138">
        <f t="shared" ref="D1138:D1140" si="75">D1135-D1129</f>
        <v>4691.3974</v>
      </c>
    </row>
    <row r="1139" spans="4:4">
      <c r="D1139">
        <f t="shared" si="75"/>
        <v>4723.33915880228</v>
      </c>
    </row>
    <row r="1140" spans="4:4">
      <c r="D1140">
        <f t="shared" si="75"/>
        <v>4650.22014339713</v>
      </c>
    </row>
    <row r="1141" spans="3:4">
      <c r="C1141" t="s">
        <v>108</v>
      </c>
      <c r="D1141">
        <f t="array" ref="D1141:D1143">lapack_dgesv(D1132:F1134,D1138:D1140)</f>
        <v>0.23456986999999</v>
      </c>
    </row>
    <row r="1142" spans="4:4">
      <c r="D1142">
        <v>10000.0000000004</v>
      </c>
    </row>
    <row r="1143" spans="4:4">
      <c r="D1143">
        <v>-0.471238898038532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试加重示意图</vt:lpstr>
      <vt:lpstr>三点平衡法</vt:lpstr>
      <vt:lpstr>二点法反相加</vt:lpstr>
      <vt:lpstr>二点法垂直加</vt:lpstr>
      <vt:lpstr>二点法垂直加-2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mengpile</cp:lastModifiedBy>
  <dcterms:created xsi:type="dcterms:W3CDTF">2017-02-20T08:34:00Z</dcterms:created>
  <dcterms:modified xsi:type="dcterms:W3CDTF">2020-06-20T16:56:53Z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2052-10.8.2.6784</vt:lpwstr>
  </property>
</Properties>
</file>